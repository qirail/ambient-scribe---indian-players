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dscape" sheetId="1" r:id="rId5"/>
    <sheet state="visible" name="Sources" sheetId="2" r:id="rId6"/>
    <sheet state="visible" name="Read Me" sheetId="3" r:id="rId7"/>
    <sheet state="visible" name="Summary" sheetId="4" r:id="rId8"/>
  </sheets>
  <definedNames/>
  <calcPr/>
</workbook>
</file>

<file path=xl/sharedStrings.xml><?xml version="1.0" encoding="utf-8"?>
<sst xmlns="http://schemas.openxmlformats.org/spreadsheetml/2006/main" count="583" uniqueCount="390">
  <si>
    <t>Player</t>
  </si>
  <si>
    <t>Website / Source</t>
  </si>
  <si>
    <t>Cost per user / non-subscription cost</t>
  </si>
  <si>
    <t>India relevance</t>
  </si>
  <si>
    <t>Category</t>
  </si>
  <si>
    <t>Organisation type</t>
  </si>
  <si>
    <t>Outreach / adoption signals</t>
  </si>
  <si>
    <t>Mode</t>
  </si>
  <si>
    <t>Ambient vs dictation classification</t>
  </si>
  <si>
    <t>Multi-voice / single-speaker assessment</t>
  </si>
  <si>
    <t>Output / discrete-data capability</t>
  </si>
  <si>
    <t>Indian language support - overall</t>
  </si>
  <si>
    <t>English</t>
  </si>
  <si>
    <t>Hindi / Hinglish</t>
  </si>
  <si>
    <t>Bangla / Bengali</t>
  </si>
  <si>
    <t>Tamil</t>
  </si>
  <si>
    <t>Kannada</t>
  </si>
  <si>
    <t>Telugu</t>
  </si>
  <si>
    <t>Malayalam</t>
  </si>
  <si>
    <t>Validation evidence found publicly</t>
  </si>
  <si>
    <t>Evidence confidence</t>
  </si>
  <si>
    <t>Key limitations / due diligence questions</t>
  </si>
  <si>
    <t>Primary source URLs</t>
  </si>
  <si>
    <t>Augnito / Scribetech Healthcare</t>
  </si>
  <si>
    <t>https://augnito.ai/ ; https://indiaai.gov.in/article/augnito-leveraging-voice-ai-to-transform-healthcare</t>
  </si>
  <si>
    <t>Public list price not found. Vendor offers personalised/custom quotes; Spectra has a 7-day free trial and no implementation/training fees stated publicly.</t>
  </si>
  <si>
    <t>India-built product with global deployment; IndiaAI reports ambient clinical intelligence pilots in large Indian hospitals.</t>
  </si>
  <si>
    <t>Medical speech recognition + ambient clinical intelligence</t>
  </si>
  <si>
    <t>Company / established healthcare documentation technology company</t>
  </si>
  <si>
    <t>Company says 450+ hospitals on about-us page; IndiaAI says ambient solution is being piloted at some of India's largest hospitals and enterprises.</t>
  </si>
  <si>
    <t>Desktop/web EMR dictation, Chrome/plugin workflow, mobile microphone app, cloud speech-to-text; ambient product for encounter capture.</t>
  </si>
  <si>
    <t>Both: mature single-speaker dictation plus newer ambient/free-flowing conversation capture.</t>
  </si>
  <si>
    <t>Dictation product is single-speaker clinician-led; ambient product is explicitly free-flowing doctor-patient conversation, likely multi-speaker but public details on speaker diarisation are limited.</t>
  </si>
  <si>
    <t>Dictates notes directly into EMR; IndiaAI says creates structured, EMR-ready data from unstructured conversations.</t>
  </si>
  <si>
    <t>Multilingual speech recognition is claimed, but exact language list not consistently visible on public product page.</t>
  </si>
  <si>
    <t>Yes</t>
  </si>
  <si>
    <t>Not clearly itemised publicly</t>
  </si>
  <si>
    <t>Public claims of 99% accuracy and 50+ specialties; whitepaper/case materials exist, but independent peer-reviewed validation for Indian-language ambient scribing was not found in the quick scan.</t>
  </si>
  <si>
    <t>High for existence and India reach; medium for exact language coverage; low for independent validation.</t>
  </si>
  <si>
    <t>Request product-specific language matrix, WER by language/accent/noise, speaker diarisation performance, clinical note error taxonomy, data-residency details, and hospital pilot outcomes.</t>
  </si>
  <si>
    <t>https://augnito.ai/ | https://augnito.ai/about-us | https://indiaai.gov.in/article/augnito-leveraging-voice-ai-to-transform-healthcare | https://play.google.com/store/apps/details?id=com.scribetech.augnitoappprod | https://chromewebstore.google.com/detail/augnito/loedohmkociaomkgggggnoogiahfinme</t>
  </si>
  <si>
    <t>Medoriax AI</t>
  </si>
  <si>
    <t>https://medoriax.com/</t>
  </si>
  <si>
    <t>Public per-user price not found. Website offers trials/pricing enquiry; treat as contact-sales pending verification.</t>
  </si>
  <si>
    <t>India-first medical scribe platform for Indian clinics.</t>
  </si>
  <si>
    <t>AI medical scribe</t>
  </si>
  <si>
    <t>Startup / company</t>
  </si>
  <si>
    <t>Website offers trials/pricing for hospitals and clinics; public outreach numbers not found.</t>
  </si>
  <si>
    <t>Web/app workflow; captures doctor-patient conversations and generates SOAP/structured clinical notes.</t>
  </si>
  <si>
    <t>Ambient-style doctor-patient conversation capture.</t>
  </si>
  <si>
    <t>Likely multi-voice, because product states it captures real doctor-patient conversations; diarisation specifics not public.</t>
  </si>
  <si>
    <t>Accurate SOAP notes; structured clinical notes; documentation generated in English from code-mixed conversations.</t>
  </si>
  <si>
    <t>Explicitly supports code-mixed Indian conversations.</t>
  </si>
  <si>
    <t>Yes; Hindi/Hinglish</t>
  </si>
  <si>
    <t>Yes; Bengali</t>
  </si>
  <si>
    <t>No public claim found</t>
  </si>
  <si>
    <t>Vendor website claims multilingual Indian support; no independent validation located.</t>
  </si>
  <si>
    <t>Medium</t>
  </si>
  <si>
    <t>Clarify Malayalam support, whether Bangla means Bengali speech not only script, specialty coverage, WER and note error rates, and integration options.</t>
  </si>
  <si>
    <t>RxNote</t>
  </si>
  <si>
    <t>https://rxnote.ai/features/ai-scribe ; https://rxnote.ai/features/how-it-works</t>
  </si>
  <si>
    <t>Public per-user price not found. Free trial/sign-up visible; claims lower-cost AI staff but no tariff disclosed.</t>
  </si>
  <si>
    <t>Marketed as India AI scribe for psychiatrists, psychologists, general physicians; trusted in Tamil Nadu per website.</t>
  </si>
  <si>
    <t>AI medical scribe + SOAP note generator</t>
  </si>
  <si>
    <t>Website claims Tamil Nadu clinic trust; public hard adoption count not found.</t>
  </si>
  <si>
    <t>Web app / subscription product; capture conversation and generate SOAP notes in real time.</t>
  </si>
  <si>
    <t>Ambient-style conversation capture with specialty focus, especially mental health and GP settings.</t>
  </si>
  <si>
    <t>Likely multi-voice conversation capture; explicit diarisation/overlap handling not public.</t>
  </si>
  <si>
    <t>SOAP notes, follow-up letters, coding features, pre-visit prep; notes in English from regional-language consultations.</t>
  </si>
  <si>
    <t>Website says 8+ Indian languages and LinkedIn claims Malayalam, Hindi, Telugu, Tamil, Kannada, Bengali, Marathi, Gujarati.</t>
  </si>
  <si>
    <t>Website claims 98% transcription accuracy; no independent clinical validation located.</t>
  </si>
  <si>
    <t>Vendor-claimed 98% accuracy needs independent verification; clarify language-specific performance and psychiatric confidentiality handling.</t>
  </si>
  <si>
    <t>https://rxnote.ai/features/ai-scribe | https://rxnote.ai/features/how-it-works | https://www.linkedin.com/posts/rxnote_rxnote-ai-medical-scribe-for-indian-doctors-activity-7412783258926485504-WHcV</t>
  </si>
  <si>
    <t>EkaScribe / Eka Care</t>
  </si>
  <si>
    <t>https://ekascribe.ai/</t>
  </si>
  <si>
    <t>Free plan: 5 consultations/day. Pro plan: unlimited consultations, but public page did not disclose the Pro price.</t>
  </si>
  <si>
    <t>India-facing product with testimonials from Indian doctors and India cloud hosting claim.</t>
  </si>
  <si>
    <t>AI medical scribe / voice-to-prescription</t>
  </si>
  <si>
    <t>Company / health-tech company</t>
  </si>
  <si>
    <t>Testimonials from Mumbai/Ahmedabad clinicians; product offers free and pro plans; public deployment numbers not found.</t>
  </si>
  <si>
    <t>Web/mobile/Chrome-extension workflow; insert notes into web-based EMRs or copy-paste into offline EMRs.</t>
  </si>
  <si>
    <t>Both ambient AI scribe and voice-to-prescription positioning.</t>
  </si>
  <si>
    <t>Records doctor-patient conversations; likely multi-voice but public documentation on diarisation not found.</t>
  </si>
  <si>
    <t>Clinical summaries, SOAP notes, custom structured notes, prescriptions, EMR-ready outputs.</t>
  </si>
  <si>
    <t>Website claims 20+ languages but exact list not fully visible in retrieved content.</t>
  </si>
  <si>
    <t>Likely, but exact public list needed</t>
  </si>
  <si>
    <t>No independent validation located; website reports user time-savings and clinical-grade accuracy.</t>
  </si>
  <si>
    <t>Obtain exact language list, per-language accuracy, whether it handles code-switching, and whether output can be exported as FHIR/ABDM-compatible structured data.</t>
  </si>
  <si>
    <t>Merago AI Scribe</t>
  </si>
  <si>
    <t>https://www.merago.ai/scribe</t>
  </si>
  <si>
    <t>Public per-user price not found. Pricing likely contact-sales/demo.</t>
  </si>
  <si>
    <t>India-relevant multilingual scribe; DPDPA compliance claim.</t>
  </si>
  <si>
    <t>Company / digital health platform</t>
  </si>
  <si>
    <t>Public adoption numbers not found.</t>
  </si>
  <si>
    <t>Likely web/app clinical scribe workflow; integration-ready per website.</t>
  </si>
  <si>
    <t>Ambient-style multi-language clinical scribe.</t>
  </si>
  <si>
    <t>Claims multi-language support in one conversation, implying mixed/multi-speaker encounter support; diarisation not public.</t>
  </si>
  <si>
    <t>SOAP/clinical notes; integration-ready; discrete FHIR/EMR depth requires confirmation.</t>
  </si>
  <si>
    <t>Explicitly supports Arabic, Bengali, English, Hindi, Kannada, Tamil, Telugu, and mixed-language speech.</t>
  </si>
  <si>
    <t>Vendor claims DPDPA compliance; no independent clinical/language validation located.</t>
  </si>
  <si>
    <t>Malayalam is not listed in retrieved source; validate data processing location, retention, and EMR integration claims.</t>
  </si>
  <si>
    <t>KiraDoc</t>
  </si>
  <si>
    <t>https://kiradoc.in/</t>
  </si>
  <si>
    <t>Public per-user price not found. Early access open; pricing link present but no price captured publicly.</t>
  </si>
  <si>
    <t>India-specific multilingual OPD dictation and AI scribe product.</t>
  </si>
  <si>
    <t>Multilingual AI medical scribe + OPD dictation</t>
  </si>
  <si>
    <t>Website claims model trained on 10,000+ hours of Indian speech across 22 official languages; public customer count not found.</t>
  </si>
  <si>
    <t>Runs a five-stage audio-to-SOAP pipeline, described as running on a GPU server.</t>
  </si>
  <si>
    <t>Both ambient/audio-to-SOAP and OPD dictation.</t>
  </si>
  <si>
    <t>Likely conversation/audio capture; explicit multi-speaker diarisation evidence not found.</t>
  </si>
  <si>
    <t>Audio to SOAP notes in seconds; discrete data depth and EMR/FHIR writeback require confirmation.</t>
  </si>
  <si>
    <t>Explicit list includes Hindi, Tamil, Telugu, Bengali, Kannada, Malayalam and many others.</t>
  </si>
  <si>
    <t>Training-data claim is public; no independent peer-reviewed or hospital validation located.</t>
  </si>
  <si>
    <t>Confirm medical-domain training data governance, whether 10,000+ hours are medical or general Indian speech, and language-specific WER in noisy OPDs.</t>
  </si>
  <si>
    <t>HealthOrbit AI Ambient AI Scribe</t>
  </si>
  <si>
    <t>https://healthorbit.ai/ambient-ai-scribe/</t>
  </si>
  <si>
    <t>Free registration/free AI scribe claims appear publicly; detailed paid-plan pricing not publicly itemised.</t>
  </si>
  <si>
    <t>India relevance not explicit from retrieved page, but product is marketed online and includes multilingual clinical interpreter features.</t>
  </si>
  <si>
    <t>Ambient AI scribe + interpreter + coding/billing</t>
  </si>
  <si>
    <t>Company</t>
  </si>
  <si>
    <t>Public customer/adoption numbers not found in retrieved page.</t>
  </si>
  <si>
    <t>Web/EHR workflow; captures visits, auto-drafts notes/codes, review-and-sign in EHR workflow.</t>
  </si>
  <si>
    <t>Ambient encounter capture.</t>
  </si>
  <si>
    <t>Likely multi-voice because it captures visits and shows doctor-patient exchange; diarisation not public.</t>
  </si>
  <si>
    <t>Clinical notes, coding and billing suggestions, review-and-sign inside EHR workflow.</t>
  </si>
  <si>
    <t>Claims multilingual capabilities, but exact Indian languages not itemised publicly in retrieved source.</t>
  </si>
  <si>
    <t>Not publicly itemised</t>
  </si>
  <si>
    <t>No independent validation located.</t>
  </si>
  <si>
    <t>Medium-low for India-specific fit; high for product existence.</t>
  </si>
  <si>
    <t>Clarify India deployment, language list, DPDPA compliance, Indian data residency, and validation in Indian clinical environments.</t>
  </si>
  <si>
    <t>QModify AI Medical Scribe</t>
  </si>
  <si>
    <t>https://www.qmodify.com/ai-medical-scribe-india ; https://www.qmodify.com/post/how-aimedicalscribeindia-auto-scribe-works-from-voice-to-validated-emr</t>
  </si>
  <si>
    <t>₹1,499/month with 300 Auto Scribe minutes; ₹2,299/month with 500 minutes; ₹3,999/month with 1,000 minutes. Basic ₹999/month has no Auto Scribe.</t>
  </si>
  <si>
    <t>Explicitly marketed as AI medical scribe for doctors in India.</t>
  </si>
  <si>
    <t>AI medical scribe + voice-to-validated EMR</t>
  </si>
  <si>
    <t>Company / clinic software provider</t>
  </si>
  <si>
    <t>App/web product; QModify site includes download app, pricing and clinic queue/HMIS products.</t>
  </si>
  <si>
    <t>Ambient-style doctor-patient conversation to prescription/SOAP/EMR; also voice-to-Rx positioning.</t>
  </si>
  <si>
    <t>Likely multi-voice, because it converts doctor-patient conversations; public diarisation not found.</t>
  </si>
  <si>
    <t>Prescriptions, SOAP notes and clinical documentation; blog frames voice-to-validated EMR.</t>
  </si>
  <si>
    <t>Claims multi-dialect/accent recognition including Hinglish and Malayalam; broader language matrix not fully public in retrieved source.</t>
  </si>
  <si>
    <t>Yes; Hinglish</t>
  </si>
  <si>
    <t>Not public</t>
  </si>
  <si>
    <t>Medium-low</t>
  </si>
  <si>
    <t>Need exact language list including Bangla/Tamil/Kannada/Telugu; validate whether 'validated EMR' means clinician review or interoperability validation.</t>
  </si>
  <si>
    <t>https://www.qmodify.com/ai-medical-scribe-india | https://www.qmodify.com/post/how-aimedicalscribeindia-auto-scribe-works-from-voice-to-validated-emr</t>
  </si>
  <si>
    <t>CurePilot.ai / CureNearMe</t>
  </si>
  <si>
    <t>https://curenearme.com/products/ai-clinical-scribe-india</t>
  </si>
  <si>
    <t>Public per-user price not found. Product page markets AI clinical scribe for India; pricing requires enquiry.</t>
  </si>
  <si>
    <t>Explicitly called India's AI clinical scribe for doctors.</t>
  </si>
  <si>
    <t>AI clinical scribe</t>
  </si>
  <si>
    <t>Company / health-tech platform</t>
  </si>
  <si>
    <t>Likely web/app workflow; listens to consultation and writes EMR.</t>
  </si>
  <si>
    <t>Ambient consultation capture.</t>
  </si>
  <si>
    <t>Likely multi-voice, because it listens to doctor-patient consultations; diarisation details not public.</t>
  </si>
  <si>
    <t>Structured EMR, clinical notes; exact standards support needs confirmation.</t>
  </si>
  <si>
    <t>Claims Hindi, Gujarati, Tamil, Marathi, Telugu and 10+ more Indian languages.</t>
  </si>
  <si>
    <t>Not public in retrieved source</t>
  </si>
  <si>
    <t>Needs full language matrix; Bangla/Kannada/Malayalam not confirmed from retrieved source; validate India data-residency and clinical safety process.</t>
  </si>
  <si>
    <t>VoxDox</t>
  </si>
  <si>
    <t>https://voxdox.co.in/</t>
  </si>
  <si>
    <t>Public per-user price not found.</t>
  </si>
  <si>
    <t>Noida-based voice-to-prescription product for Indian doctors.</t>
  </si>
  <si>
    <t>Voice-to-prescription / clinical documentation</t>
  </si>
  <si>
    <t>Likely web/app voice-to-prescription workflow.</t>
  </si>
  <si>
    <t>Primarily voice-to-prescription/dictation; ambient capability not established from retrieved source.</t>
  </si>
  <si>
    <t>Likely single-speaker clinician dictation unless product demo confirms doctor-patient conversation capture.</t>
  </si>
  <si>
    <t>Prescription generation; structured output depth not public.</t>
  </si>
  <si>
    <t>Language support not publicly itemised in retrieved source.</t>
  </si>
  <si>
    <t>Low-medium</t>
  </si>
  <si>
    <t>Requires demo and technical documentation to establish language support, multi-speaker ability, and EMR integration.</t>
  </si>
  <si>
    <t>DoctorsApp Voice-to-Rx</t>
  </si>
  <si>
    <t>https://www.doctorsapp.in/blog/best-ai-voice-to-rx-software-for-doctors-in-india</t>
  </si>
  <si>
    <t>Public per-user Voice-to-Rx price not found; likely bundled with EMR/HMIS subscription, requiring vendor quote.</t>
  </si>
  <si>
    <t>India-focused EMR/HMIS and AI voice-to-prescription offering for clinics and hospitals.</t>
  </si>
  <si>
    <t>Voice-to-prescription + EMR software</t>
  </si>
  <si>
    <t>Blog/product marketing; public hard deployment numbers not found.</t>
  </si>
  <si>
    <t>EMR/HMIS software with voice-to-Rx workflow.</t>
  </si>
  <si>
    <t>Primarily voice-to-prescription/dictation; ambient capture not established.</t>
  </si>
  <si>
    <t>Likely single-speaker clinician dictation.</t>
  </si>
  <si>
    <t>Digital prescriptions and EMR records using AI.</t>
  </si>
  <si>
    <t>Indian-language specifics not found in retrieved result.</t>
  </si>
  <si>
    <t>Obtain demo, exact ASR engine, language matrix, and whether outputs are discrete coded fields or formatted free text.</t>
  </si>
  <si>
    <t>Adrine</t>
  </si>
  <si>
    <t>https://www.adrine.in/blog/ai-in-healthcare-india</t>
  </si>
  <si>
    <t>Public per-user voice-scribe price not found; likely bundled with HMIS subscription, requiring vendor quote.</t>
  </si>
  <si>
    <t>India hospital management software with AI voice scribe claim.</t>
  </si>
  <si>
    <t>AI-enabled hospital management software + voice scribe</t>
  </si>
  <si>
    <t>Company / HMIS provider</t>
  </si>
  <si>
    <t>Public adoption numbers not found in retrieved source.</t>
  </si>
  <si>
    <t>HMIS product with AI voice scribe inside hospital software.</t>
  </si>
  <si>
    <t>Primarily voice-to-prescription/clinical documentation inside HMIS; ambient not established.</t>
  </si>
  <si>
    <t>Likely single-speaker unless demo confirms encounter capture.</t>
  </si>
  <si>
    <t>Voice-to-prescription, automated SOAP notes, summaries, ICD-10 suggestions.</t>
  </si>
  <si>
    <t>Claims voice-to-prescription in 10+ Indian languages.</t>
  </si>
  <si>
    <t>Likely</t>
  </si>
  <si>
    <t>Need exact languages, performance, and whether ICD-10 suggestions are validated.</t>
  </si>
  <si>
    <t>VivaLyn Labs</t>
  </si>
  <si>
    <t>https://www.vivalynlabs.com/blog/best-ai-medical-scribe-software-india</t>
  </si>
  <si>
    <t>Public India pricing references vary by page: MedScribe page says starting at ₹2,999/month; blog states India AI scribe ranges around ₹699/month per doctor for hospital plans to ₹1,499/month for solo practitioners. Verify live quote.</t>
  </si>
  <si>
    <t>India-targeted AI medical scribe software pages across Indian cities.</t>
  </si>
  <si>
    <t>AI medical scribe software</t>
  </si>
  <si>
    <t>Likely web/app product; city landing pages for hospitals and clinics.</t>
  </si>
  <si>
    <t>Marketed as AI medical scribe; exact ambient vs dictation capability requires demo.</t>
  </si>
  <si>
    <t>Unclear from public search snippets.</t>
  </si>
  <si>
    <t>Clinical documentation; exact discrete data capability not public in retrieved source.</t>
  </si>
  <si>
    <t>Indian-language claims appear in city pages, including Malayalam-specific pages, but exact matrix requires confirmation.</t>
  </si>
  <si>
    <t>Request product demo and exact language/accuracy documentation; blog pages include competitor commentary and may be marketing-heavy.</t>
  </si>
  <si>
    <t>https://www.vivalynlabs.com/blog/best-ai-medical-scribe-software-india | https://www.vivalynlabs.com/ai-medical-scribe-india-kochi | https://www.vivalynlabs.com/ai-medical-scribe-india-thiruvananthapuram</t>
  </si>
  <si>
    <t>ScribeMedics</t>
  </si>
  <si>
    <t>https://scribemedics.org/</t>
  </si>
  <si>
    <t>Public per-user price not found. Hybrid AI + human scribe service likely quote-based.</t>
  </si>
  <si>
    <t>India relevance not explicit; hybrid AI plus human scribe model may be relevant to Indian outsourcing/remote scribe context.</t>
  </si>
  <si>
    <t>Hybrid AI medical scribe + human-in-the-loop documentation</t>
  </si>
  <si>
    <t>Company / scribing service</t>
  </si>
  <si>
    <t>AI-generated first draft reviewed/corrected by remote medical scribes.</t>
  </si>
  <si>
    <t>Not pure ambient product; hybrid AI + remote scribe service.</t>
  </si>
  <si>
    <t>Depends on workflow; likely encounter documentation reviewed by humans, not purely automated multi-voice system.</t>
  </si>
  <si>
    <t>Clinical documentation refined by humans; discrete data capability unclear.</t>
  </si>
  <si>
    <t>Indian-language support not publicly itemised in retrieved source.</t>
  </si>
  <si>
    <t>Human-in-loop quality control claimed; no independent validation located.</t>
  </si>
  <si>
    <t>Clarify India operations, HIPAA/DPDPA alignment, whether India languages are supported, and whether data leaves India.</t>
  </si>
  <si>
    <t>PenBOT</t>
  </si>
  <si>
    <t>https://indiaai.gov.in/case-study/penbot-ai-scribe-for-efficient-transcription-in-medical-settings</t>
  </si>
  <si>
    <t>No commercial pricing found; appears as an IndiaAI case study/prototype rather than a clearly priced product.</t>
  </si>
  <si>
    <t>Indian National AI Portal case study; appears more academic/prototype/case-study oriented than commercial SaaS.</t>
  </si>
  <si>
    <t>AI scribe / medical transcription prototype</t>
  </si>
  <si>
    <t>Academic / research case study / possibly product prototype</t>
  </si>
  <si>
    <t>Case study describes development and implementation; public commercial outreach not clear.</t>
  </si>
  <si>
    <t>Speech recognition + machine learning + NLP transcription workflow.</t>
  </si>
  <si>
    <t>Medical transcription AI scribe; ambient conversation capability not clearly established.</t>
  </si>
  <si>
    <t>Unclear; likely transcription-focused rather than robust multi-speaker ambient capture unless implemented otherwise.</t>
  </si>
  <si>
    <t>Extracts diagnoses, prescriptions, symptoms, follow-up instructions per related book/source; customizable formats.</t>
  </si>
  <si>
    <t>Indian-language support not clearly itemised in retrieved IndiaAI case study.</t>
  </si>
  <si>
    <t>IndiaAI case-study level evidence; no peer-reviewed clinical validation found in quick scan.</t>
  </si>
  <si>
    <t>Medium for existence; low for language/validation.</t>
  </si>
  <si>
    <t>Need developer/owner identity, deployment sites, language matrix, and validation results before treating as a market-ready vendor.</t>
  </si>
  <si>
    <t>https://indiaai.gov.in/case-study/penbot-ai-scribe-for-efficient-transcription-in-medical-settings | https://www.elivabooks.com/en/book/book-8004323097</t>
  </si>
  <si>
    <t>ScribeMed</t>
  </si>
  <si>
    <t>https://scribemed-web.vercel.app/</t>
  </si>
  <si>
    <t>India-facing AI scribe claiming 500+ doctors across India.</t>
  </si>
  <si>
    <t>Startup / web product</t>
  </si>
  <si>
    <t>Claims 500+ doctors across India.</t>
  </si>
  <si>
    <t>Web product; start-free workflow.</t>
  </si>
  <si>
    <t>AI medical scribe; ambient vs dictation not fully clear from retrieved source.</t>
  </si>
  <si>
    <t>Unclear; needs demo.</t>
  </si>
  <si>
    <t>Clinical documentation; discrete data not public.</t>
  </si>
  <si>
    <t>Vercel-hosted public site needs extra diligence on company identity, security, DPDPA compliance, and production readiness.</t>
  </si>
  <si>
    <t>Fosterhealth.ai</t>
  </si>
  <si>
    <t>https://fosterhealth.ai/ ; https://fosterhealth.ai/blogs/indian-healthcare-ecosystem-a-breeding-ground-for-ai-innovation</t>
  </si>
  <si>
    <t>Try-for-free visible; public per-user/subscription price not found. Treat as contact-sales pending verification.</t>
  </si>
  <si>
    <t>India relevance suggested through India-focused healthcare AI blog and product positioning; commercial entity appears Foster AI Inc.</t>
  </si>
  <si>
    <t>Company / AI medical documentation startup</t>
  </si>
  <si>
    <t>Website promotes try-for-free and demo routes; public adoption count not found.</t>
  </si>
  <si>
    <t>Web-based AI medical scribe; generates transcript and clinical notes after the session.</t>
  </si>
  <si>
    <t>Ambient-style medical scribe.</t>
  </si>
  <si>
    <t>Likely multi-voice because it transcribes patient conversations; public diarisation/overlap evidence not found.</t>
  </si>
  <si>
    <t>Transcript and clinical notes; exact discrete EMR/FHIR write-back depth not public.</t>
  </si>
  <si>
    <t>No independent clinical validation found publicly in this scan.</t>
  </si>
  <si>
    <t>Medium for product existence; low for Indian-language and discrete-data depth.</t>
  </si>
  <si>
    <t>Confirm pricing, data residency/DPDPA posture, EMR integration, Indian-language performance, and multi-speaker handling in noisy OPDs.</t>
  </si>
  <si>
    <t>https://fosterhealth.ai/ | https://fosterhealth.ai/blogs/indian-healthcare-ecosystem-a-breeding-ground-for-ai-innovation</t>
  </si>
  <si>
    <t>Probeplus.in</t>
  </si>
  <si>
    <t>https://www.probeplus.in/</t>
  </si>
  <si>
    <t>Public site positions ProbePlus as an AI-powered healthcare coding/documentation automation company; India relevance through Bengaluru/India company signals requires direct vendor confirmation.</t>
  </si>
  <si>
    <t>Public per-user price not found; pricing likely custom/contact-sales.</t>
  </si>
  <si>
    <t>AI medical coding / clinical documentation automation</t>
  </si>
  <si>
    <t>Company / healthcare AI services-product firm</t>
  </si>
  <si>
    <t>AI-powered coding system that extracts and assigns medical codes from clinical documentation; not clearly an ambient scribe.</t>
  </si>
  <si>
    <t>Not clearly ambient; closer to documentation-to-coding / voice-to-discrete-data adjacent workflow.</t>
  </si>
  <si>
    <t>Unclear; likely works on clinical documentation rather than live multi-speaker encounter audio unless demo confirms.</t>
  </si>
  <si>
    <t>Medical code extraction/assignment; discrete coding output likely stronger than scribe-style narrative output.</t>
  </si>
  <si>
    <t>Indian-language support not publicly itemised.</t>
  </si>
  <si>
    <t>Unclear</t>
  </si>
  <si>
    <t>Medium for coding product existence; low for ambient/V2DD encounter capture.</t>
  </si>
  <si>
    <t>Clarify whether product ingests audio, transcript, or documentation; validate coding standards, auditability, integration, pricing and Indian deployment references.</t>
  </si>
  <si>
    <t>Suki AI</t>
  </si>
  <si>
    <t>https://www.suki.ai/ ; https://www.suki.ai/clinicians/ ; https://www.fiercehealthcare.com/ai-and-machine-learning/suki-brings-ai-scribes-community-health-centers-limited-cash-flow</t>
  </si>
  <si>
    <t>US-origin ambient clinical intelligence platform; relevant as mature benchmark product rather than India-specific solution.</t>
  </si>
  <si>
    <t>$399/provider/month list price reported in 2024 coverage; third-party 2026 comparisons report Suki Compose around $299/month and Suki Assistant around $399/month. Official site is contact-sales; verify quote.</t>
  </si>
  <si>
    <t>Ambient clinical intelligence + AI medical assistant</t>
  </si>
  <si>
    <t>Company / established healthcare AI company</t>
  </si>
  <si>
    <t>Clinician page states EHR integration across 100+ systems; public community health center deployment coverage exists.</t>
  </si>
  <si>
    <t>Ambient encounter capture, dictation, coding, clinical Q&amp;A, voice-enabled pre-charting and EHR-integrated workflows.</t>
  </si>
  <si>
    <t>Both ambient AI scribe and voice assistant/dictation-style workflows.</t>
  </si>
  <si>
    <t>Designed for encounter capture; multiple ambient sessions for same patient are described. Multi-speaker diarisation specifics require vendor validation.</t>
  </si>
  <si>
    <t>Notes, ICD-10, HCC, CPT and E/M code support, clinical Q&amp;A, EHR-integrated documentation.</t>
  </si>
  <si>
    <t>Not India-specific; Indian language support not publicly itemised.</t>
  </si>
  <si>
    <t>Some public deployment/market evidence; independent India-specific validation not found.</t>
  </si>
  <si>
    <t>High for product maturity; low for Indian-language/India deployment fit.</t>
  </si>
  <si>
    <t>Confirm HIPAA/BAA versus DPDPA alignment, India data residency, Indian accents/languages, EHR integration feasibility and total enterprise price.</t>
  </si>
  <si>
    <t>https://www.suki.ai/ | https://www.suki.ai/clinicians/ | https://www.fiercehealthcare.com/ai-and-machine-learning/suki-brings-ai-scribes-community-health-centers-limited-cash-flow | https://www.deepcura.com/resources/compare/suki</t>
  </si>
  <si>
    <t>Fireflies.ai</t>
  </si>
  <si>
    <t>https://fireflies.ai/pricing ; https://guide.fireflies.ai/articles/3734844560-learn-about-the-fireflies-pricing-plans ; https://guide.fireflies.ai/articles/2114151875-learn-about-ai-credits</t>
  </si>
  <si>
    <t>General meeting transcription/summarisation product, not healthcare-specific; relevant as low-cost ambient transcription benchmark, not as clinical V2DD tool.</t>
  </si>
  <si>
    <t>Free; Pro $10/user/month billed annually or $18 monthly; Business $19/user/month billed annually or $29 monthly; Enterprise $39/user/month billed annually. Additional AI credits can auto-upgrade from $5/50 credits.</t>
  </si>
  <si>
    <t>Meeting transcription + AI notes</t>
  </si>
  <si>
    <t>Company / productivity AI platform</t>
  </si>
  <si>
    <t>Widely marketed SaaS meeting assistant; no clinical adoption evidence found in this scan.</t>
  </si>
  <si>
    <t>Meeting bot/mobile/desktop/Chrome workflow; records, transcribes and summarises meetings.</t>
  </si>
  <si>
    <t>Ambient meeting capture, but not a clinical ambient scribe.</t>
  </si>
  <si>
    <t>Multi-speaker meeting transcription likely supported; clinical diarisation and medical conversation accuracy not validated publicly for India.</t>
  </si>
  <si>
    <t>Transcripts, summaries, action items, API/CRM integrations; no clinical discrete-data/EMR output by default.</t>
  </si>
  <si>
    <t>General language support exists but Indian clinical language performance not itemised in retrieved pricing/source pages.</t>
  </si>
  <si>
    <t>Not public for clinical use</t>
  </si>
  <si>
    <t>No healthcare-specific validation found publicly in this scan.</t>
  </si>
  <si>
    <t>High for general transcription pricing; low for clinical/V2DD suitability.</t>
  </si>
  <si>
    <t>Not a medical device or clinical scribe by default; assess PHI/BAA/HIPAA/DPDPA, data retention, consent, medical vocabulary and enterprise controls before clinical use.</t>
  </si>
  <si>
    <t>https://fireflies.ai/pricing | https://guide.fireflies.ai/articles/3734844560-learn-about-the-fireflies-pricing-plans | https://guide.fireflies.ai/articles/2114151875-learn-about-ai-credits</t>
  </si>
  <si>
    <t>Source</t>
  </si>
  <si>
    <t>URL</t>
  </si>
  <si>
    <t>Use in workbook</t>
  </si>
  <si>
    <t>Augnito homepage</t>
  </si>
  <si>
    <t>https://augnito.ai/</t>
  </si>
  <si>
    <t>Medical speech recognition, 50+ specialties, EMR dictation</t>
  </si>
  <si>
    <t>Augnito about</t>
  </si>
  <si>
    <t>https://augnito.ai/about-us</t>
  </si>
  <si>
    <t>450+ hospitals claim</t>
  </si>
  <si>
    <t>IndiaAI Augnito article</t>
  </si>
  <si>
    <t>https://indiaai.gov.in/article/augnito-leveraging-voice-ai-to-transform-healthcare</t>
  </si>
  <si>
    <t>Ambient clinical intelligence pilots, structured EMR-ready data</t>
  </si>
  <si>
    <t>Augnito Play Store</t>
  </si>
  <si>
    <t>https://play.google.com/store/apps/details?id=com.scribetech.augnitoappprod</t>
  </si>
  <si>
    <t>Mobile mic/app mode</t>
  </si>
  <si>
    <t>Augnito Chrome Web Store</t>
  </si>
  <si>
    <t>https://chromewebstore.google.com/detail/augnito/loedohmkociaomkgggggnoogiahfinme</t>
  </si>
  <si>
    <t>Chrome plugin and reporting workflow</t>
  </si>
  <si>
    <t>Medoriax</t>
  </si>
  <si>
    <t>India-first multilingual AI medical scribe and supported languages</t>
  </si>
  <si>
    <t>RxNote AI Scribe</t>
  </si>
  <si>
    <t>https://rxnote.ai/features/ai-scribe</t>
  </si>
  <si>
    <t>India scribe, languages, SOAP notes, accuracy claim</t>
  </si>
  <si>
    <t>RxNote workflow</t>
  </si>
  <si>
    <t>https://rxnote.ai/features/how-it-works</t>
  </si>
  <si>
    <t>Speak in Tamil/Hindi/Telugu/Hinglish and generate notes</t>
  </si>
  <si>
    <t>RxNote LinkedIn</t>
  </si>
  <si>
    <t>https://www.linkedin.com/posts/rxnote_rxnote-ai-medical-scribe-for-indian-doctors-activity-7412783258926485504-WHcV</t>
  </si>
  <si>
    <t>Additional languages including Malayalam/Kannada/Bengali</t>
  </si>
  <si>
    <t>EkaScribe</t>
  </si>
  <si>
    <t>Voice-to-prescription, clinical notes, 20+ languages, Chrome extension</t>
  </si>
  <si>
    <t>Explicit Bengali/Hindi/Kannada/Tamil/Telugu and mixed-language support</t>
  </si>
  <si>
    <t>22 official languages, 10,000+ hours Indian speech, Hindi/Bengali/Tamil/Kannada/Telugu/Malayalam</t>
  </si>
  <si>
    <t>HealthOrbit AI</t>
  </si>
  <si>
    <t>Ambient AI scribe, multilingual capability, coding</t>
  </si>
  <si>
    <t>QModify</t>
  </si>
  <si>
    <t>https://www.qmodify.com/ai-medical-scribe-india</t>
  </si>
  <si>
    <t>India AI medical scribe</t>
  </si>
  <si>
    <t>QModify blog</t>
  </si>
  <si>
    <t>https://www.qmodify.com/post/how-aimedicalscribeindia-auto-scribe-works-from-voice-to-validated-emr</t>
  </si>
  <si>
    <t>Hinglish/Malayalam/accent recognition claim</t>
  </si>
  <si>
    <t>CurePilot</t>
  </si>
  <si>
    <t>Hindi/Gujarati/Tamil/Marathi/Telugu and 10+ languages</t>
  </si>
  <si>
    <t>Noida voice-to-prescription product</t>
  </si>
  <si>
    <t>DoctorsApp</t>
  </si>
  <si>
    <t>India voice-to-Rx/EMR product positioning</t>
  </si>
  <si>
    <t>AI voice scribe in HMIS, 10+ Indian languages</t>
  </si>
  <si>
    <t>India medical scribe market positioning</t>
  </si>
  <si>
    <t>Hybrid AI + human medical scribe model</t>
  </si>
  <si>
    <t>PenBOT IndiaAI</t>
  </si>
  <si>
    <t>AI scribe/transcription case study</t>
  </si>
  <si>
    <t>500+ doctors claim</t>
  </si>
  <si>
    <t>SPRING-INX IIT Madras</t>
  </si>
  <si>
    <t>https://arxiv.org/abs/2310.14654</t>
  </si>
  <si>
    <t>Background: Indian speech corpus includes Bengali/Hindi/Kannada/Malayalam/Tamil</t>
  </si>
  <si>
    <t>Vakyansh</t>
  </si>
  <si>
    <t>https://arxiv.org/abs/2203.16512</t>
  </si>
  <si>
    <t>Background: Indic ASR toolkit and language resource context</t>
  </si>
  <si>
    <t>India ambient scribe and voice-to-discrete-data landscape scan</t>
  </si>
  <si>
    <t>Prepared</t>
  </si>
  <si>
    <t>2026-05-31</t>
  </si>
  <si>
    <t>Scope</t>
  </si>
  <si>
    <t>India-facing or India-relevant tools for ambient clinical documentation, voice-to-prescription, medical dictation, and voice-to-structured EMR/discrete data.</t>
  </si>
  <si>
    <t>Interpretation note</t>
  </si>
  <si>
    <t>The sheet distinguishes true ambient encounter capture from single-speaker dictation/voice-to-prescription. Many products use 'AI scribe' as marketing language even when the public evidence only supports clinician dictation.</t>
  </si>
  <si>
    <t>Validation note</t>
  </si>
  <si>
    <t>Publicly available, independent clinical validation for Indian-language ambient scribing was generally not found. Vendor accuracy claims are recorded separately from independent validation.</t>
  </si>
  <si>
    <t>Language note</t>
  </si>
  <si>
    <t>A 'Yes' under a language means the public source explicitly supports it or, for English, it is inherent in the product output/website claims. 'Likely' means broad language claims without exact visible list. 'Not public' means no reliable public evidence found in this scan.</t>
  </si>
  <si>
    <t>Metric</t>
  </si>
  <si>
    <t>Count / Note</t>
  </si>
  <si>
    <t>Total players mapped</t>
  </si>
  <si>
    <t>True ambient or ambient-style capture</t>
  </si>
  <si>
    <t>Explicit Hindi/Hinglish support</t>
  </si>
  <si>
    <t>Explicit Bengali/Bangla support</t>
  </si>
  <si>
    <t>Explicit Tamil support</t>
  </si>
  <si>
    <t>Explicit Kannada support</t>
  </si>
  <si>
    <t>Explicit Telugu support</t>
  </si>
  <si>
    <t>Explicit Malayalam support</t>
  </si>
  <si>
    <t>Key procurement caution</t>
  </si>
  <si>
    <t>Independent validation in noisy Indian OPD environments is rarely public; require site pilots and language-specific metrics.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</si>
</sst>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2.0"/>
      <color rgb="FFFFFFFF"/>
      <name val="Carlito"/>
    </font>
    <font>
      <b/>
      <sz val="11.0"/>
      <color rgb="FFFFFFFF"/>
      <name val="Carlito"/>
    </font>
    <font>
      <sz val="12.0"/>
      <color theme="1"/>
      <name val="Carlito"/>
    </font>
    <font>
      <sz val="11.0"/>
      <color theme="1"/>
      <name val="Carlito"/>
    </font>
    <font>
      <color theme="1"/>
      <name val="Carlito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2" numFmtId="0" xfId="0" applyAlignment="1" applyBorder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wrapText="1"/>
    </xf>
    <xf borderId="1" fillId="2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wrapText="1"/>
    </xf>
    <xf borderId="0" fillId="0" fontId="5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2">
    <tableStyle count="3" pivot="0" name="Landscape-style">
      <tableStyleElement dxfId="1" type="headerRow"/>
      <tableStyleElement dxfId="2" type="firstRowStripe"/>
      <tableStyleElement dxfId="3" type="secondRowStripe"/>
    </tableStyle>
    <tableStyle count="3" pivot="0" name="Sourc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17" displayName="Table_1" name="Table_1" id="1">
  <tableColumns count="22">
    <tableColumn name="Player" id="1"/>
    <tableColumn name="Website / Source" id="2"/>
    <tableColumn name="Cost per user / non-subscription cost" id="3"/>
    <tableColumn name="India relevance" id="4"/>
    <tableColumn name="Category" id="5"/>
    <tableColumn name="Organisation type" id="6"/>
    <tableColumn name="Outreach / adoption signals" id="7"/>
    <tableColumn name="Mode" id="8"/>
    <tableColumn name="Ambient vs dictation classification" id="9"/>
    <tableColumn name="Multi-voice / single-speaker assessment" id="10"/>
    <tableColumn name="Output / discrete-data capability" id="11"/>
    <tableColumn name="Indian language support - overall" id="12"/>
    <tableColumn name="English" id="13"/>
    <tableColumn name="Hindi / Hinglish" id="14"/>
    <tableColumn name="Bangla / Bengali" id="15"/>
    <tableColumn name="Tamil" id="16"/>
    <tableColumn name="Kannada" id="17"/>
    <tableColumn name="Telugu" id="18"/>
    <tableColumn name="Malayalam" id="19"/>
    <tableColumn name="Validation evidence found publicly" id="20"/>
    <tableColumn name="Evidence confidence" id="21"/>
    <tableColumn name="Key limitations / due diligence questions" id="22"/>
  </tableColumns>
  <tableStyleInfo name="Landscape-style" showColumnStripes="0" showFirstColumn="1" showLastColumn="1" showRowStripes="1"/>
</table>
</file>

<file path=xl/tables/table2.xml><?xml version="1.0" encoding="utf-8"?>
<table xmlns="http://schemas.openxmlformats.org/spreadsheetml/2006/main" ref="A1:C26" displayName="Table_2" name="Table_2" id="2">
  <tableColumns count="3">
    <tableColumn name="Source" id="1"/>
    <tableColumn name="URL" id="2"/>
    <tableColumn name="Use in workbook" id="3"/>
  </tableColumns>
  <tableStyleInfo name="Sour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hidden="1" min="2" max="2" width="34.0"/>
    <col customWidth="1" min="3" max="3" width="38.0"/>
    <col customWidth="1" min="4" max="4" width="32.0"/>
    <col customWidth="1" min="5" max="6" width="26.0"/>
    <col customWidth="1" min="7" max="7" width="34.0"/>
    <col customWidth="1" min="8" max="8" width="28.0"/>
    <col customWidth="1" min="9" max="11" width="34.0"/>
    <col customWidth="1" min="12" max="19" width="16.0"/>
    <col customWidth="1" min="20" max="20" width="34.0"/>
    <col customWidth="1" min="21" max="21" width="18.0"/>
    <col customWidth="1" min="22" max="22" width="38.0"/>
    <col customWidth="1" min="23" max="23" width="46.0"/>
    <col customWidth="1" min="24" max="26" width="8.88"/>
  </cols>
  <sheetData>
    <row r="1" ht="5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</row>
    <row r="2" ht="106.5" customHeight="1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37</v>
      </c>
      <c r="U2" s="3" t="s">
        <v>38</v>
      </c>
      <c r="V2" s="3" t="s">
        <v>39</v>
      </c>
      <c r="W2" s="4" t="s">
        <v>40</v>
      </c>
    </row>
    <row r="3" ht="106.5" customHeight="1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35</v>
      </c>
      <c r="N3" s="3" t="s">
        <v>53</v>
      </c>
      <c r="O3" s="3" t="s">
        <v>54</v>
      </c>
      <c r="P3" s="3" t="s">
        <v>35</v>
      </c>
      <c r="Q3" s="3" t="s">
        <v>35</v>
      </c>
      <c r="R3" s="3" t="s">
        <v>35</v>
      </c>
      <c r="S3" s="3" t="s">
        <v>55</v>
      </c>
      <c r="T3" s="3" t="s">
        <v>56</v>
      </c>
      <c r="U3" s="3" t="s">
        <v>57</v>
      </c>
      <c r="V3" s="3" t="s">
        <v>58</v>
      </c>
      <c r="W3" s="4" t="s">
        <v>42</v>
      </c>
    </row>
    <row r="4" ht="106.5" customHeight="1">
      <c r="A4" s="3" t="s">
        <v>59</v>
      </c>
      <c r="B4" s="3" t="s">
        <v>60</v>
      </c>
      <c r="C4" s="3" t="s">
        <v>61</v>
      </c>
      <c r="D4" s="3" t="s">
        <v>62</v>
      </c>
      <c r="E4" s="3" t="s">
        <v>63</v>
      </c>
      <c r="F4" s="3" t="s">
        <v>46</v>
      </c>
      <c r="G4" s="3" t="s">
        <v>64</v>
      </c>
      <c r="H4" s="3" t="s">
        <v>65</v>
      </c>
      <c r="I4" s="3" t="s">
        <v>66</v>
      </c>
      <c r="J4" s="3" t="s">
        <v>67</v>
      </c>
      <c r="K4" s="3" t="s">
        <v>68</v>
      </c>
      <c r="L4" s="3" t="s">
        <v>69</v>
      </c>
      <c r="M4" s="3" t="s">
        <v>35</v>
      </c>
      <c r="N4" s="3" t="s">
        <v>53</v>
      </c>
      <c r="O4" s="3" t="s">
        <v>54</v>
      </c>
      <c r="P4" s="3" t="s">
        <v>35</v>
      </c>
      <c r="Q4" s="3" t="s">
        <v>35</v>
      </c>
      <c r="R4" s="3" t="s">
        <v>35</v>
      </c>
      <c r="S4" s="3" t="s">
        <v>35</v>
      </c>
      <c r="T4" s="3" t="s">
        <v>70</v>
      </c>
      <c r="U4" s="3" t="s">
        <v>57</v>
      </c>
      <c r="V4" s="3" t="s">
        <v>71</v>
      </c>
      <c r="W4" s="4" t="s">
        <v>72</v>
      </c>
    </row>
    <row r="5" ht="106.5" customHeight="1">
      <c r="A5" s="3" t="s">
        <v>73</v>
      </c>
      <c r="B5" s="3" t="s">
        <v>74</v>
      </c>
      <c r="C5" s="3" t="s">
        <v>75</v>
      </c>
      <c r="D5" s="3" t="s">
        <v>76</v>
      </c>
      <c r="E5" s="3" t="s">
        <v>77</v>
      </c>
      <c r="F5" s="3" t="s">
        <v>78</v>
      </c>
      <c r="G5" s="3" t="s">
        <v>79</v>
      </c>
      <c r="H5" s="3" t="s">
        <v>80</v>
      </c>
      <c r="I5" s="3" t="s">
        <v>81</v>
      </c>
      <c r="J5" s="3" t="s">
        <v>82</v>
      </c>
      <c r="K5" s="3" t="s">
        <v>83</v>
      </c>
      <c r="L5" s="3" t="s">
        <v>84</v>
      </c>
      <c r="M5" s="3" t="s">
        <v>35</v>
      </c>
      <c r="N5" s="3" t="s">
        <v>85</v>
      </c>
      <c r="O5" s="3" t="s">
        <v>85</v>
      </c>
      <c r="P5" s="3" t="s">
        <v>85</v>
      </c>
      <c r="Q5" s="3" t="s">
        <v>85</v>
      </c>
      <c r="R5" s="3" t="s">
        <v>85</v>
      </c>
      <c r="S5" s="3" t="s">
        <v>85</v>
      </c>
      <c r="T5" s="3" t="s">
        <v>86</v>
      </c>
      <c r="U5" s="3" t="s">
        <v>57</v>
      </c>
      <c r="V5" s="3" t="s">
        <v>87</v>
      </c>
      <c r="W5" s="4" t="s">
        <v>74</v>
      </c>
    </row>
    <row r="6" ht="106.5" customHeight="1">
      <c r="A6" s="3" t="s">
        <v>88</v>
      </c>
      <c r="B6" s="3" t="s">
        <v>89</v>
      </c>
      <c r="C6" s="3" t="s">
        <v>90</v>
      </c>
      <c r="D6" s="3" t="s">
        <v>91</v>
      </c>
      <c r="E6" s="3" t="s">
        <v>45</v>
      </c>
      <c r="F6" s="3" t="s">
        <v>92</v>
      </c>
      <c r="G6" s="3" t="s">
        <v>93</v>
      </c>
      <c r="H6" s="3" t="s">
        <v>94</v>
      </c>
      <c r="I6" s="3" t="s">
        <v>95</v>
      </c>
      <c r="J6" s="3" t="s">
        <v>96</v>
      </c>
      <c r="K6" s="3" t="s">
        <v>97</v>
      </c>
      <c r="L6" s="3" t="s">
        <v>98</v>
      </c>
      <c r="M6" s="3" t="s">
        <v>35</v>
      </c>
      <c r="N6" s="3" t="s">
        <v>35</v>
      </c>
      <c r="O6" s="3" t="s">
        <v>54</v>
      </c>
      <c r="P6" s="3" t="s">
        <v>35</v>
      </c>
      <c r="Q6" s="3" t="s">
        <v>35</v>
      </c>
      <c r="R6" s="3" t="s">
        <v>35</v>
      </c>
      <c r="S6" s="3" t="s">
        <v>55</v>
      </c>
      <c r="T6" s="3" t="s">
        <v>99</v>
      </c>
      <c r="U6" s="3" t="s">
        <v>57</v>
      </c>
      <c r="V6" s="3" t="s">
        <v>100</v>
      </c>
      <c r="W6" s="4" t="s">
        <v>89</v>
      </c>
    </row>
    <row r="7" ht="106.5" customHeight="1">
      <c r="A7" s="3" t="s">
        <v>101</v>
      </c>
      <c r="B7" s="3" t="s">
        <v>102</v>
      </c>
      <c r="C7" s="3" t="s">
        <v>103</v>
      </c>
      <c r="D7" s="3" t="s">
        <v>104</v>
      </c>
      <c r="E7" s="3" t="s">
        <v>105</v>
      </c>
      <c r="F7" s="3" t="s">
        <v>46</v>
      </c>
      <c r="G7" s="3" t="s">
        <v>106</v>
      </c>
      <c r="H7" s="3" t="s">
        <v>107</v>
      </c>
      <c r="I7" s="3" t="s">
        <v>108</v>
      </c>
      <c r="J7" s="3" t="s">
        <v>109</v>
      </c>
      <c r="K7" s="3" t="s">
        <v>110</v>
      </c>
      <c r="L7" s="3" t="s">
        <v>111</v>
      </c>
      <c r="M7" s="3" t="s">
        <v>35</v>
      </c>
      <c r="N7" s="3" t="s">
        <v>35</v>
      </c>
      <c r="O7" s="3" t="s">
        <v>54</v>
      </c>
      <c r="P7" s="3" t="s">
        <v>35</v>
      </c>
      <c r="Q7" s="3" t="s">
        <v>35</v>
      </c>
      <c r="R7" s="3" t="s">
        <v>35</v>
      </c>
      <c r="S7" s="3" t="s">
        <v>35</v>
      </c>
      <c r="T7" s="3" t="s">
        <v>112</v>
      </c>
      <c r="U7" s="3" t="s">
        <v>57</v>
      </c>
      <c r="V7" s="3" t="s">
        <v>113</v>
      </c>
      <c r="W7" s="4" t="s">
        <v>102</v>
      </c>
    </row>
    <row r="8" ht="106.5" customHeight="1">
      <c r="A8" s="3" t="s">
        <v>114</v>
      </c>
      <c r="B8" s="3" t="s">
        <v>115</v>
      </c>
      <c r="C8" s="3" t="s">
        <v>116</v>
      </c>
      <c r="D8" s="3" t="s">
        <v>117</v>
      </c>
      <c r="E8" s="3" t="s">
        <v>118</v>
      </c>
      <c r="F8" s="3" t="s">
        <v>119</v>
      </c>
      <c r="G8" s="3" t="s">
        <v>120</v>
      </c>
      <c r="H8" s="3" t="s">
        <v>121</v>
      </c>
      <c r="I8" s="3" t="s">
        <v>122</v>
      </c>
      <c r="J8" s="3" t="s">
        <v>123</v>
      </c>
      <c r="K8" s="3" t="s">
        <v>124</v>
      </c>
      <c r="L8" s="3" t="s">
        <v>125</v>
      </c>
      <c r="M8" s="3" t="s">
        <v>35</v>
      </c>
      <c r="N8" s="3" t="s">
        <v>126</v>
      </c>
      <c r="O8" s="3" t="s">
        <v>126</v>
      </c>
      <c r="P8" s="3" t="s">
        <v>126</v>
      </c>
      <c r="Q8" s="3" t="s">
        <v>126</v>
      </c>
      <c r="R8" s="3" t="s">
        <v>126</v>
      </c>
      <c r="S8" s="3" t="s">
        <v>126</v>
      </c>
      <c r="T8" s="3" t="s">
        <v>127</v>
      </c>
      <c r="U8" s="3" t="s">
        <v>128</v>
      </c>
      <c r="V8" s="3" t="s">
        <v>129</v>
      </c>
      <c r="W8" s="4" t="s">
        <v>115</v>
      </c>
    </row>
    <row r="9" ht="106.5" customHeight="1">
      <c r="A9" s="3" t="s">
        <v>130</v>
      </c>
      <c r="B9" s="3" t="s">
        <v>131</v>
      </c>
      <c r="C9" s="3" t="s">
        <v>132</v>
      </c>
      <c r="D9" s="3" t="s">
        <v>133</v>
      </c>
      <c r="E9" s="3" t="s">
        <v>134</v>
      </c>
      <c r="F9" s="3" t="s">
        <v>135</v>
      </c>
      <c r="G9" s="3" t="s">
        <v>93</v>
      </c>
      <c r="H9" s="3" t="s">
        <v>136</v>
      </c>
      <c r="I9" s="3" t="s">
        <v>137</v>
      </c>
      <c r="J9" s="3" t="s">
        <v>138</v>
      </c>
      <c r="K9" s="3" t="s">
        <v>139</v>
      </c>
      <c r="L9" s="3" t="s">
        <v>140</v>
      </c>
      <c r="M9" s="3" t="s">
        <v>35</v>
      </c>
      <c r="N9" s="3" t="s">
        <v>141</v>
      </c>
      <c r="O9" s="3" t="s">
        <v>142</v>
      </c>
      <c r="P9" s="3" t="s">
        <v>142</v>
      </c>
      <c r="Q9" s="3" t="s">
        <v>142</v>
      </c>
      <c r="R9" s="3" t="s">
        <v>142</v>
      </c>
      <c r="S9" s="3" t="s">
        <v>35</v>
      </c>
      <c r="T9" s="3" t="s">
        <v>127</v>
      </c>
      <c r="U9" s="3" t="s">
        <v>143</v>
      </c>
      <c r="V9" s="3" t="s">
        <v>144</v>
      </c>
      <c r="W9" s="4" t="s">
        <v>145</v>
      </c>
    </row>
    <row r="10" ht="106.5" customHeight="1">
      <c r="A10" s="3" t="s">
        <v>146</v>
      </c>
      <c r="B10" s="3" t="s">
        <v>147</v>
      </c>
      <c r="C10" s="3" t="s">
        <v>148</v>
      </c>
      <c r="D10" s="3" t="s">
        <v>149</v>
      </c>
      <c r="E10" s="3" t="s">
        <v>150</v>
      </c>
      <c r="F10" s="3" t="s">
        <v>151</v>
      </c>
      <c r="G10" s="3" t="s">
        <v>93</v>
      </c>
      <c r="H10" s="3" t="s">
        <v>152</v>
      </c>
      <c r="I10" s="3" t="s">
        <v>153</v>
      </c>
      <c r="J10" s="3" t="s">
        <v>154</v>
      </c>
      <c r="K10" s="3" t="s">
        <v>155</v>
      </c>
      <c r="L10" s="3" t="s">
        <v>156</v>
      </c>
      <c r="M10" s="3" t="s">
        <v>35</v>
      </c>
      <c r="N10" s="3" t="s">
        <v>35</v>
      </c>
      <c r="O10" s="3" t="s">
        <v>157</v>
      </c>
      <c r="P10" s="3" t="s">
        <v>35</v>
      </c>
      <c r="Q10" s="3" t="s">
        <v>157</v>
      </c>
      <c r="R10" s="3" t="s">
        <v>35</v>
      </c>
      <c r="S10" s="3" t="s">
        <v>157</v>
      </c>
      <c r="T10" s="3" t="s">
        <v>127</v>
      </c>
      <c r="U10" s="3" t="s">
        <v>143</v>
      </c>
      <c r="V10" s="3" t="s">
        <v>158</v>
      </c>
      <c r="W10" s="4" t="s">
        <v>147</v>
      </c>
    </row>
    <row r="11" ht="106.5" customHeight="1">
      <c r="A11" s="3" t="s">
        <v>159</v>
      </c>
      <c r="B11" s="3" t="s">
        <v>160</v>
      </c>
      <c r="C11" s="3" t="s">
        <v>161</v>
      </c>
      <c r="D11" s="3" t="s">
        <v>162</v>
      </c>
      <c r="E11" s="3" t="s">
        <v>163</v>
      </c>
      <c r="F11" s="3" t="s">
        <v>46</v>
      </c>
      <c r="G11" s="3" t="s">
        <v>93</v>
      </c>
      <c r="H11" s="3" t="s">
        <v>164</v>
      </c>
      <c r="I11" s="3" t="s">
        <v>165</v>
      </c>
      <c r="J11" s="3" t="s">
        <v>166</v>
      </c>
      <c r="K11" s="3" t="s">
        <v>167</v>
      </c>
      <c r="L11" s="3" t="s">
        <v>168</v>
      </c>
      <c r="M11" s="3" t="s">
        <v>35</v>
      </c>
      <c r="N11" s="3" t="s">
        <v>142</v>
      </c>
      <c r="O11" s="3" t="s">
        <v>142</v>
      </c>
      <c r="P11" s="3" t="s">
        <v>142</v>
      </c>
      <c r="Q11" s="3" t="s">
        <v>142</v>
      </c>
      <c r="R11" s="3" t="s">
        <v>142</v>
      </c>
      <c r="S11" s="3" t="s">
        <v>142</v>
      </c>
      <c r="T11" s="3" t="s">
        <v>127</v>
      </c>
      <c r="U11" s="3" t="s">
        <v>169</v>
      </c>
      <c r="V11" s="3" t="s">
        <v>170</v>
      </c>
      <c r="W11" s="4" t="s">
        <v>160</v>
      </c>
    </row>
    <row r="12" ht="106.5" customHeight="1">
      <c r="A12" s="3" t="s">
        <v>171</v>
      </c>
      <c r="B12" s="3" t="s">
        <v>172</v>
      </c>
      <c r="C12" s="3" t="s">
        <v>173</v>
      </c>
      <c r="D12" s="3" t="s">
        <v>174</v>
      </c>
      <c r="E12" s="3" t="s">
        <v>175</v>
      </c>
      <c r="F12" s="3" t="s">
        <v>135</v>
      </c>
      <c r="G12" s="3" t="s">
        <v>176</v>
      </c>
      <c r="H12" s="3" t="s">
        <v>177</v>
      </c>
      <c r="I12" s="3" t="s">
        <v>178</v>
      </c>
      <c r="J12" s="3" t="s">
        <v>179</v>
      </c>
      <c r="K12" s="3" t="s">
        <v>180</v>
      </c>
      <c r="L12" s="3" t="s">
        <v>181</v>
      </c>
      <c r="M12" s="3" t="s">
        <v>35</v>
      </c>
      <c r="N12" s="3" t="s">
        <v>142</v>
      </c>
      <c r="O12" s="3" t="s">
        <v>142</v>
      </c>
      <c r="P12" s="3" t="s">
        <v>142</v>
      </c>
      <c r="Q12" s="3" t="s">
        <v>142</v>
      </c>
      <c r="R12" s="3" t="s">
        <v>142</v>
      </c>
      <c r="S12" s="3" t="s">
        <v>142</v>
      </c>
      <c r="T12" s="3" t="s">
        <v>127</v>
      </c>
      <c r="U12" s="3" t="s">
        <v>169</v>
      </c>
      <c r="V12" s="3" t="s">
        <v>182</v>
      </c>
      <c r="W12" s="4" t="s">
        <v>172</v>
      </c>
    </row>
    <row r="13" ht="106.5" customHeight="1">
      <c r="A13" s="3" t="s">
        <v>183</v>
      </c>
      <c r="B13" s="3" t="s">
        <v>184</v>
      </c>
      <c r="C13" s="3" t="s">
        <v>185</v>
      </c>
      <c r="D13" s="3" t="s">
        <v>186</v>
      </c>
      <c r="E13" s="3" t="s">
        <v>187</v>
      </c>
      <c r="F13" s="3" t="s">
        <v>188</v>
      </c>
      <c r="G13" s="3" t="s">
        <v>189</v>
      </c>
      <c r="H13" s="3" t="s">
        <v>190</v>
      </c>
      <c r="I13" s="3" t="s">
        <v>191</v>
      </c>
      <c r="J13" s="3" t="s">
        <v>192</v>
      </c>
      <c r="K13" s="3" t="s">
        <v>193</v>
      </c>
      <c r="L13" s="3" t="s">
        <v>194</v>
      </c>
      <c r="M13" s="3" t="s">
        <v>35</v>
      </c>
      <c r="N13" s="3" t="s">
        <v>195</v>
      </c>
      <c r="O13" s="3" t="s">
        <v>142</v>
      </c>
      <c r="P13" s="3" t="s">
        <v>195</v>
      </c>
      <c r="Q13" s="3" t="s">
        <v>195</v>
      </c>
      <c r="R13" s="3" t="s">
        <v>195</v>
      </c>
      <c r="S13" s="3" t="s">
        <v>195</v>
      </c>
      <c r="T13" s="3" t="s">
        <v>127</v>
      </c>
      <c r="U13" s="3" t="s">
        <v>169</v>
      </c>
      <c r="V13" s="3" t="s">
        <v>196</v>
      </c>
      <c r="W13" s="4" t="s">
        <v>184</v>
      </c>
    </row>
    <row r="14" ht="106.5" customHeight="1">
      <c r="A14" s="3" t="s">
        <v>197</v>
      </c>
      <c r="B14" s="3" t="s">
        <v>198</v>
      </c>
      <c r="C14" s="3" t="s">
        <v>199</v>
      </c>
      <c r="D14" s="3" t="s">
        <v>200</v>
      </c>
      <c r="E14" s="3" t="s">
        <v>201</v>
      </c>
      <c r="F14" s="3" t="s">
        <v>119</v>
      </c>
      <c r="G14" s="3" t="s">
        <v>93</v>
      </c>
      <c r="H14" s="3" t="s">
        <v>202</v>
      </c>
      <c r="I14" s="3" t="s">
        <v>203</v>
      </c>
      <c r="J14" s="3" t="s">
        <v>204</v>
      </c>
      <c r="K14" s="3" t="s">
        <v>205</v>
      </c>
      <c r="L14" s="3" t="s">
        <v>206</v>
      </c>
      <c r="M14" s="3" t="s">
        <v>35</v>
      </c>
      <c r="N14" s="3" t="s">
        <v>195</v>
      </c>
      <c r="O14" s="3" t="s">
        <v>195</v>
      </c>
      <c r="P14" s="3" t="s">
        <v>195</v>
      </c>
      <c r="Q14" s="3" t="s">
        <v>195</v>
      </c>
      <c r="R14" s="3" t="s">
        <v>195</v>
      </c>
      <c r="S14" s="3" t="s">
        <v>195</v>
      </c>
      <c r="T14" s="3" t="s">
        <v>127</v>
      </c>
      <c r="U14" s="3" t="s">
        <v>169</v>
      </c>
      <c r="V14" s="3" t="s">
        <v>207</v>
      </c>
      <c r="W14" s="4" t="s">
        <v>208</v>
      </c>
    </row>
    <row r="15" ht="106.5" customHeight="1">
      <c r="A15" s="3" t="s">
        <v>209</v>
      </c>
      <c r="B15" s="3" t="s">
        <v>210</v>
      </c>
      <c r="C15" s="3" t="s">
        <v>211</v>
      </c>
      <c r="D15" s="3" t="s">
        <v>212</v>
      </c>
      <c r="E15" s="3" t="s">
        <v>213</v>
      </c>
      <c r="F15" s="3" t="s">
        <v>214</v>
      </c>
      <c r="G15" s="3" t="s">
        <v>189</v>
      </c>
      <c r="H15" s="3" t="s">
        <v>215</v>
      </c>
      <c r="I15" s="3" t="s">
        <v>216</v>
      </c>
      <c r="J15" s="3" t="s">
        <v>217</v>
      </c>
      <c r="K15" s="3" t="s">
        <v>218</v>
      </c>
      <c r="L15" s="3" t="s">
        <v>219</v>
      </c>
      <c r="M15" s="3" t="s">
        <v>35</v>
      </c>
      <c r="N15" s="3" t="s">
        <v>142</v>
      </c>
      <c r="O15" s="3" t="s">
        <v>142</v>
      </c>
      <c r="P15" s="3" t="s">
        <v>142</v>
      </c>
      <c r="Q15" s="3" t="s">
        <v>142</v>
      </c>
      <c r="R15" s="3" t="s">
        <v>142</v>
      </c>
      <c r="S15" s="3" t="s">
        <v>142</v>
      </c>
      <c r="T15" s="3" t="s">
        <v>220</v>
      </c>
      <c r="U15" s="3" t="s">
        <v>169</v>
      </c>
      <c r="V15" s="3" t="s">
        <v>221</v>
      </c>
      <c r="W15" s="4" t="s">
        <v>210</v>
      </c>
    </row>
    <row r="16" ht="106.5" customHeight="1">
      <c r="A16" s="3" t="s">
        <v>222</v>
      </c>
      <c r="B16" s="3" t="s">
        <v>223</v>
      </c>
      <c r="C16" s="3" t="s">
        <v>224</v>
      </c>
      <c r="D16" s="3" t="s">
        <v>225</v>
      </c>
      <c r="E16" s="3" t="s">
        <v>226</v>
      </c>
      <c r="F16" s="3" t="s">
        <v>227</v>
      </c>
      <c r="G16" s="3" t="s">
        <v>228</v>
      </c>
      <c r="H16" s="3" t="s">
        <v>229</v>
      </c>
      <c r="I16" s="3" t="s">
        <v>230</v>
      </c>
      <c r="J16" s="3" t="s">
        <v>231</v>
      </c>
      <c r="K16" s="3" t="s">
        <v>232</v>
      </c>
      <c r="L16" s="3" t="s">
        <v>233</v>
      </c>
      <c r="M16" s="3" t="s">
        <v>35</v>
      </c>
      <c r="N16" s="3" t="s">
        <v>142</v>
      </c>
      <c r="O16" s="3" t="s">
        <v>142</v>
      </c>
      <c r="P16" s="3" t="s">
        <v>142</v>
      </c>
      <c r="Q16" s="3" t="s">
        <v>142</v>
      </c>
      <c r="R16" s="3" t="s">
        <v>142</v>
      </c>
      <c r="S16" s="3" t="s">
        <v>142</v>
      </c>
      <c r="T16" s="3" t="s">
        <v>234</v>
      </c>
      <c r="U16" s="3" t="s">
        <v>235</v>
      </c>
      <c r="V16" s="3" t="s">
        <v>236</v>
      </c>
      <c r="W16" s="4" t="s">
        <v>237</v>
      </c>
    </row>
    <row r="17" ht="106.5" customHeight="1">
      <c r="A17" s="3" t="s">
        <v>238</v>
      </c>
      <c r="B17" s="3" t="s">
        <v>239</v>
      </c>
      <c r="C17" s="3"/>
      <c r="D17" s="3" t="s">
        <v>240</v>
      </c>
      <c r="E17" s="3" t="s">
        <v>45</v>
      </c>
      <c r="F17" s="3" t="s">
        <v>241</v>
      </c>
      <c r="G17" s="3" t="s">
        <v>242</v>
      </c>
      <c r="H17" s="3" t="s">
        <v>243</v>
      </c>
      <c r="I17" s="3" t="s">
        <v>244</v>
      </c>
      <c r="J17" s="3" t="s">
        <v>245</v>
      </c>
      <c r="K17" s="3" t="s">
        <v>246</v>
      </c>
      <c r="L17" s="3" t="s">
        <v>168</v>
      </c>
      <c r="M17" s="3" t="s">
        <v>35</v>
      </c>
      <c r="N17" s="3" t="s">
        <v>142</v>
      </c>
      <c r="O17" s="3" t="s">
        <v>142</v>
      </c>
      <c r="P17" s="3" t="s">
        <v>142</v>
      </c>
      <c r="Q17" s="3" t="s">
        <v>142</v>
      </c>
      <c r="R17" s="3" t="s">
        <v>142</v>
      </c>
      <c r="S17" s="3" t="s">
        <v>142</v>
      </c>
      <c r="T17" s="3" t="s">
        <v>127</v>
      </c>
      <c r="U17" s="3" t="s">
        <v>169</v>
      </c>
      <c r="V17" s="3" t="s">
        <v>247</v>
      </c>
      <c r="W17" s="4" t="s">
        <v>239</v>
      </c>
    </row>
    <row r="18" ht="106.5" customHeight="1">
      <c r="A18" s="4" t="s">
        <v>248</v>
      </c>
      <c r="B18" s="4" t="s">
        <v>249</v>
      </c>
      <c r="C18" s="4" t="s">
        <v>250</v>
      </c>
      <c r="D18" s="4" t="s">
        <v>251</v>
      </c>
      <c r="E18" s="4" t="s">
        <v>45</v>
      </c>
      <c r="F18" s="4" t="s">
        <v>252</v>
      </c>
      <c r="G18" s="4" t="s">
        <v>253</v>
      </c>
      <c r="H18" s="4" t="s">
        <v>254</v>
      </c>
      <c r="I18" s="4" t="s">
        <v>255</v>
      </c>
      <c r="J18" s="4" t="s">
        <v>256</v>
      </c>
      <c r="K18" s="4" t="s">
        <v>257</v>
      </c>
      <c r="L18" s="4" t="s">
        <v>168</v>
      </c>
      <c r="M18" s="4" t="s">
        <v>35</v>
      </c>
      <c r="N18" s="4" t="s">
        <v>142</v>
      </c>
      <c r="O18" s="4" t="s">
        <v>142</v>
      </c>
      <c r="P18" s="4" t="s">
        <v>142</v>
      </c>
      <c r="Q18" s="4" t="s">
        <v>142</v>
      </c>
      <c r="R18" s="4" t="s">
        <v>142</v>
      </c>
      <c r="S18" s="4" t="s">
        <v>142</v>
      </c>
      <c r="T18" s="4" t="s">
        <v>258</v>
      </c>
      <c r="U18" s="4" t="s">
        <v>259</v>
      </c>
      <c r="V18" s="4" t="s">
        <v>260</v>
      </c>
      <c r="W18" s="4" t="s">
        <v>261</v>
      </c>
    </row>
    <row r="19" ht="106.5" customHeight="1">
      <c r="A19" s="4" t="s">
        <v>262</v>
      </c>
      <c r="B19" s="4" t="s">
        <v>263</v>
      </c>
      <c r="C19" s="4" t="s">
        <v>264</v>
      </c>
      <c r="D19" s="4" t="s">
        <v>265</v>
      </c>
      <c r="E19" s="4" t="s">
        <v>266</v>
      </c>
      <c r="F19" s="4" t="s">
        <v>267</v>
      </c>
      <c r="G19" s="4" t="s">
        <v>93</v>
      </c>
      <c r="H19" s="4" t="s">
        <v>268</v>
      </c>
      <c r="I19" s="4" t="s">
        <v>269</v>
      </c>
      <c r="J19" s="4" t="s">
        <v>270</v>
      </c>
      <c r="K19" s="4" t="s">
        <v>271</v>
      </c>
      <c r="L19" s="4" t="s">
        <v>272</v>
      </c>
      <c r="M19" s="4" t="s">
        <v>273</v>
      </c>
      <c r="N19" s="4" t="s">
        <v>142</v>
      </c>
      <c r="O19" s="4" t="s">
        <v>142</v>
      </c>
      <c r="P19" s="4" t="s">
        <v>142</v>
      </c>
      <c r="Q19" s="4" t="s">
        <v>142</v>
      </c>
      <c r="R19" s="4" t="s">
        <v>142</v>
      </c>
      <c r="S19" s="4" t="s">
        <v>142</v>
      </c>
      <c r="T19" s="4" t="s">
        <v>258</v>
      </c>
      <c r="U19" s="4" t="s">
        <v>274</v>
      </c>
      <c r="V19" s="4" t="s">
        <v>275</v>
      </c>
      <c r="W19" s="4" t="s">
        <v>263</v>
      </c>
    </row>
    <row r="20" ht="106.5" customHeight="1">
      <c r="A20" s="4" t="s">
        <v>276</v>
      </c>
      <c r="B20" s="4" t="s">
        <v>277</v>
      </c>
      <c r="C20" s="4" t="s">
        <v>278</v>
      </c>
      <c r="D20" s="4" t="s">
        <v>279</v>
      </c>
      <c r="E20" s="4" t="s">
        <v>280</v>
      </c>
      <c r="F20" s="4" t="s">
        <v>281</v>
      </c>
      <c r="G20" s="4" t="s">
        <v>282</v>
      </c>
      <c r="H20" s="4" t="s">
        <v>283</v>
      </c>
      <c r="I20" s="4" t="s">
        <v>284</v>
      </c>
      <c r="J20" s="4" t="s">
        <v>285</v>
      </c>
      <c r="K20" s="4" t="s">
        <v>286</v>
      </c>
      <c r="L20" s="4" t="s">
        <v>287</v>
      </c>
      <c r="M20" s="4" t="s">
        <v>35</v>
      </c>
      <c r="N20" s="4" t="s">
        <v>142</v>
      </c>
      <c r="O20" s="4" t="s">
        <v>142</v>
      </c>
      <c r="P20" s="4" t="s">
        <v>142</v>
      </c>
      <c r="Q20" s="4" t="s">
        <v>142</v>
      </c>
      <c r="R20" s="4" t="s">
        <v>142</v>
      </c>
      <c r="S20" s="4" t="s">
        <v>142</v>
      </c>
      <c r="T20" s="4" t="s">
        <v>288</v>
      </c>
      <c r="U20" s="4" t="s">
        <v>289</v>
      </c>
      <c r="V20" s="4" t="s">
        <v>290</v>
      </c>
      <c r="W20" s="4" t="s">
        <v>291</v>
      </c>
    </row>
    <row r="21" ht="106.5" customHeight="1">
      <c r="A21" s="4" t="s">
        <v>292</v>
      </c>
      <c r="B21" s="4" t="s">
        <v>293</v>
      </c>
      <c r="C21" s="4" t="s">
        <v>294</v>
      </c>
      <c r="D21" s="4" t="s">
        <v>295</v>
      </c>
      <c r="E21" s="4" t="s">
        <v>296</v>
      </c>
      <c r="F21" s="4" t="s">
        <v>297</v>
      </c>
      <c r="G21" s="4" t="s">
        <v>298</v>
      </c>
      <c r="H21" s="4" t="s">
        <v>299</v>
      </c>
      <c r="I21" s="4" t="s">
        <v>300</v>
      </c>
      <c r="J21" s="4" t="s">
        <v>301</v>
      </c>
      <c r="K21" s="4" t="s">
        <v>302</v>
      </c>
      <c r="L21" s="4" t="s">
        <v>303</v>
      </c>
      <c r="M21" s="4" t="s">
        <v>35</v>
      </c>
      <c r="N21" s="4" t="s">
        <v>304</v>
      </c>
      <c r="O21" s="4" t="s">
        <v>304</v>
      </c>
      <c r="P21" s="4" t="s">
        <v>304</v>
      </c>
      <c r="Q21" s="4" t="s">
        <v>304</v>
      </c>
      <c r="R21" s="4" t="s">
        <v>304</v>
      </c>
      <c r="S21" s="4" t="s">
        <v>304</v>
      </c>
      <c r="T21" s="4" t="s">
        <v>305</v>
      </c>
      <c r="U21" s="4" t="s">
        <v>306</v>
      </c>
      <c r="V21" s="4" t="s">
        <v>307</v>
      </c>
      <c r="W21" s="4" t="s">
        <v>308</v>
      </c>
    </row>
    <row r="22" ht="13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ht="13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3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ht="13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ht="13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ht="13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ht="13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ht="13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ht="13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3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3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ht="13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ht="13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ht="13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ht="13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ht="13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3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3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3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3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3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3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3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3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3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3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ht="13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ht="1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ht="13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ht="13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ht="13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ht="13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ht="13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ht="1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ht="1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ht="13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ht="13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ht="13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ht="13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ht="1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ht="13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ht="13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ht="1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ht="1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ht="1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ht="1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1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13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13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13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13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1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1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1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1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1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13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13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ht="13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ht="13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ht="1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ht="13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ht="13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ht="13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ht="13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ht="13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ht="13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ht="1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ht="13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ht="13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ht="13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ht="13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ht="13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ht="13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ht="13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ht="13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ht="13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ht="13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ht="1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ht="13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ht="1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ht="13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ht="13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ht="13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ht="13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ht="1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ht="1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ht="1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ht="13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ht="1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ht="1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ht="13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ht="13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ht="13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ht="13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ht="1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ht="1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ht="1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M2:R100">
    <cfRule type="expression" dxfId="4" priority="1">
      <formula>LEFT(M2,3)="Yes"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28.5"/>
    <col customWidth="1" min="3" max="3" width="29.63"/>
    <col customWidth="1" min="4" max="26" width="8.88"/>
  </cols>
  <sheetData>
    <row r="1" ht="13.5" customHeight="1">
      <c r="A1" s="6" t="s">
        <v>309</v>
      </c>
      <c r="B1" s="6" t="s">
        <v>310</v>
      </c>
      <c r="C1" s="6" t="s">
        <v>311</v>
      </c>
    </row>
    <row r="2" ht="13.5" customHeight="1">
      <c r="A2" s="7" t="s">
        <v>312</v>
      </c>
      <c r="B2" s="7" t="s">
        <v>313</v>
      </c>
      <c r="C2" s="7" t="s">
        <v>314</v>
      </c>
    </row>
    <row r="3" ht="13.5" customHeight="1">
      <c r="A3" s="7" t="s">
        <v>315</v>
      </c>
      <c r="B3" s="7" t="s">
        <v>316</v>
      </c>
      <c r="C3" s="7" t="s">
        <v>317</v>
      </c>
    </row>
    <row r="4" ht="13.5" customHeight="1">
      <c r="A4" s="7" t="s">
        <v>318</v>
      </c>
      <c r="B4" s="7" t="s">
        <v>319</v>
      </c>
      <c r="C4" s="7" t="s">
        <v>320</v>
      </c>
    </row>
    <row r="5" ht="13.5" customHeight="1">
      <c r="A5" s="7" t="s">
        <v>321</v>
      </c>
      <c r="B5" s="7" t="s">
        <v>322</v>
      </c>
      <c r="C5" s="7" t="s">
        <v>323</v>
      </c>
    </row>
    <row r="6" ht="13.5" customHeight="1">
      <c r="A6" s="7" t="s">
        <v>324</v>
      </c>
      <c r="B6" s="7" t="s">
        <v>325</v>
      </c>
      <c r="C6" s="7" t="s">
        <v>326</v>
      </c>
    </row>
    <row r="7" ht="13.5" customHeight="1">
      <c r="A7" s="7" t="s">
        <v>327</v>
      </c>
      <c r="B7" s="7" t="s">
        <v>42</v>
      </c>
      <c r="C7" s="7" t="s">
        <v>328</v>
      </c>
    </row>
    <row r="8" ht="13.5" customHeight="1">
      <c r="A8" s="7" t="s">
        <v>329</v>
      </c>
      <c r="B8" s="7" t="s">
        <v>330</v>
      </c>
      <c r="C8" s="7" t="s">
        <v>331</v>
      </c>
    </row>
    <row r="9" ht="13.5" customHeight="1">
      <c r="A9" s="7" t="s">
        <v>332</v>
      </c>
      <c r="B9" s="7" t="s">
        <v>333</v>
      </c>
      <c r="C9" s="7" t="s">
        <v>334</v>
      </c>
    </row>
    <row r="10" ht="13.5" customHeight="1">
      <c r="A10" s="7" t="s">
        <v>335</v>
      </c>
      <c r="B10" s="7" t="s">
        <v>336</v>
      </c>
      <c r="C10" s="7" t="s">
        <v>337</v>
      </c>
    </row>
    <row r="11" ht="13.5" customHeight="1">
      <c r="A11" s="7" t="s">
        <v>338</v>
      </c>
      <c r="B11" s="7" t="s">
        <v>74</v>
      </c>
      <c r="C11" s="7" t="s">
        <v>339</v>
      </c>
    </row>
    <row r="12" ht="13.5" customHeight="1">
      <c r="A12" s="7" t="s">
        <v>88</v>
      </c>
      <c r="B12" s="7" t="s">
        <v>89</v>
      </c>
      <c r="C12" s="7" t="s">
        <v>340</v>
      </c>
    </row>
    <row r="13" ht="13.5" customHeight="1">
      <c r="A13" s="7" t="s">
        <v>101</v>
      </c>
      <c r="B13" s="7" t="s">
        <v>102</v>
      </c>
      <c r="C13" s="7" t="s">
        <v>341</v>
      </c>
    </row>
    <row r="14" ht="13.5" customHeight="1">
      <c r="A14" s="7" t="s">
        <v>342</v>
      </c>
      <c r="B14" s="7" t="s">
        <v>115</v>
      </c>
      <c r="C14" s="7" t="s">
        <v>343</v>
      </c>
    </row>
    <row r="15" ht="13.5" customHeight="1">
      <c r="A15" s="7" t="s">
        <v>344</v>
      </c>
      <c r="B15" s="7" t="s">
        <v>345</v>
      </c>
      <c r="C15" s="7" t="s">
        <v>346</v>
      </c>
    </row>
    <row r="16" ht="13.5" customHeight="1">
      <c r="A16" s="7" t="s">
        <v>347</v>
      </c>
      <c r="B16" s="7" t="s">
        <v>348</v>
      </c>
      <c r="C16" s="7" t="s">
        <v>349</v>
      </c>
    </row>
    <row r="17" ht="13.5" customHeight="1">
      <c r="A17" s="7" t="s">
        <v>350</v>
      </c>
      <c r="B17" s="7" t="s">
        <v>147</v>
      </c>
      <c r="C17" s="7" t="s">
        <v>351</v>
      </c>
    </row>
    <row r="18" ht="13.5" customHeight="1">
      <c r="A18" s="7" t="s">
        <v>159</v>
      </c>
      <c r="B18" s="7" t="s">
        <v>160</v>
      </c>
      <c r="C18" s="7" t="s">
        <v>352</v>
      </c>
    </row>
    <row r="19" ht="13.5" customHeight="1">
      <c r="A19" s="7" t="s">
        <v>353</v>
      </c>
      <c r="B19" s="7" t="s">
        <v>172</v>
      </c>
      <c r="C19" s="7" t="s">
        <v>354</v>
      </c>
    </row>
    <row r="20" ht="13.5" customHeight="1">
      <c r="A20" s="7" t="s">
        <v>183</v>
      </c>
      <c r="B20" s="7" t="s">
        <v>184</v>
      </c>
      <c r="C20" s="7" t="s">
        <v>355</v>
      </c>
    </row>
    <row r="21" ht="13.5" customHeight="1">
      <c r="A21" s="7" t="s">
        <v>197</v>
      </c>
      <c r="B21" s="7" t="s">
        <v>198</v>
      </c>
      <c r="C21" s="7" t="s">
        <v>356</v>
      </c>
    </row>
    <row r="22" ht="13.5" customHeight="1">
      <c r="A22" s="7" t="s">
        <v>209</v>
      </c>
      <c r="B22" s="7" t="s">
        <v>210</v>
      </c>
      <c r="C22" s="7" t="s">
        <v>357</v>
      </c>
    </row>
    <row r="23" ht="13.5" customHeight="1">
      <c r="A23" s="7" t="s">
        <v>358</v>
      </c>
      <c r="B23" s="7" t="s">
        <v>223</v>
      </c>
      <c r="C23" s="7" t="s">
        <v>359</v>
      </c>
    </row>
    <row r="24" ht="13.5" customHeight="1">
      <c r="A24" s="7" t="s">
        <v>238</v>
      </c>
      <c r="B24" s="7" t="s">
        <v>239</v>
      </c>
      <c r="C24" s="7" t="s">
        <v>360</v>
      </c>
    </row>
    <row r="25" ht="13.5" customHeight="1">
      <c r="A25" s="7" t="s">
        <v>361</v>
      </c>
      <c r="B25" s="7" t="s">
        <v>362</v>
      </c>
      <c r="C25" s="7" t="s">
        <v>363</v>
      </c>
    </row>
    <row r="26" ht="13.5" customHeight="1">
      <c r="A26" s="7" t="s">
        <v>364</v>
      </c>
      <c r="B26" s="7" t="s">
        <v>365</v>
      </c>
      <c r="C26" s="7" t="s">
        <v>366</v>
      </c>
    </row>
    <row r="27" ht="13.5" customHeight="1">
      <c r="A27" s="5"/>
      <c r="B27" s="5"/>
      <c r="C27" s="5"/>
    </row>
    <row r="28" ht="13.5" customHeight="1">
      <c r="A28" s="5"/>
      <c r="B28" s="5"/>
      <c r="C28" s="5"/>
    </row>
    <row r="29" ht="13.5" customHeight="1">
      <c r="A29" s="5"/>
      <c r="B29" s="5"/>
      <c r="C29" s="5"/>
    </row>
    <row r="30" ht="13.5" customHeight="1">
      <c r="A30" s="5"/>
      <c r="B30" s="5"/>
      <c r="C30" s="5"/>
    </row>
    <row r="31" ht="13.5" customHeight="1">
      <c r="A31" s="5"/>
      <c r="B31" s="5"/>
      <c r="C31" s="5"/>
    </row>
    <row r="32" ht="13.5" customHeight="1">
      <c r="A32" s="5"/>
      <c r="B32" s="5"/>
      <c r="C32" s="5"/>
    </row>
    <row r="33" ht="13.5" customHeight="1">
      <c r="A33" s="5"/>
      <c r="B33" s="5"/>
      <c r="C33" s="5"/>
    </row>
    <row r="34" ht="13.5" customHeight="1">
      <c r="A34" s="5"/>
      <c r="B34" s="5"/>
      <c r="C34" s="5"/>
    </row>
    <row r="35" ht="13.5" customHeight="1">
      <c r="A35" s="5"/>
      <c r="B35" s="5"/>
      <c r="C35" s="5"/>
    </row>
    <row r="36" ht="13.5" customHeight="1">
      <c r="A36" s="5"/>
      <c r="B36" s="5"/>
      <c r="C36" s="5"/>
    </row>
    <row r="37" ht="13.5" customHeight="1">
      <c r="A37" s="5"/>
      <c r="B37" s="5"/>
      <c r="C37" s="5"/>
    </row>
    <row r="38" ht="13.5" customHeight="1">
      <c r="A38" s="5"/>
      <c r="B38" s="5"/>
      <c r="C38" s="5"/>
    </row>
    <row r="39" ht="13.5" customHeight="1">
      <c r="A39" s="5"/>
      <c r="B39" s="5"/>
      <c r="C39" s="5"/>
    </row>
    <row r="40" ht="13.5" customHeight="1">
      <c r="A40" s="5"/>
      <c r="B40" s="5"/>
      <c r="C40" s="5"/>
    </row>
    <row r="41" ht="13.5" customHeight="1">
      <c r="A41" s="5"/>
      <c r="B41" s="5"/>
      <c r="C41" s="5"/>
    </row>
    <row r="42" ht="13.5" customHeight="1">
      <c r="A42" s="5"/>
      <c r="B42" s="5"/>
      <c r="C42" s="5"/>
    </row>
    <row r="43" ht="13.5" customHeight="1">
      <c r="A43" s="5"/>
      <c r="B43" s="5"/>
      <c r="C43" s="5"/>
    </row>
    <row r="44" ht="13.5" customHeight="1">
      <c r="A44" s="5"/>
      <c r="B44" s="5"/>
      <c r="C44" s="5"/>
    </row>
    <row r="45" ht="13.5" customHeight="1">
      <c r="A45" s="5"/>
      <c r="B45" s="5"/>
      <c r="C45" s="5"/>
    </row>
    <row r="46" ht="13.5" customHeight="1">
      <c r="A46" s="5"/>
      <c r="B46" s="5"/>
      <c r="C46" s="5"/>
    </row>
    <row r="47" ht="13.5" customHeight="1">
      <c r="A47" s="5"/>
      <c r="B47" s="5"/>
      <c r="C47" s="5"/>
    </row>
    <row r="48" ht="13.5" customHeight="1">
      <c r="A48" s="5"/>
      <c r="B48" s="5"/>
      <c r="C48" s="5"/>
    </row>
    <row r="49" ht="13.5" customHeight="1">
      <c r="A49" s="5"/>
      <c r="B49" s="5"/>
      <c r="C49" s="5"/>
    </row>
    <row r="50" ht="13.5" customHeight="1">
      <c r="A50" s="5"/>
      <c r="B50" s="5"/>
      <c r="C50" s="5"/>
    </row>
    <row r="51" ht="13.5" customHeight="1">
      <c r="A51" s="5"/>
      <c r="B51" s="5"/>
      <c r="C51" s="5"/>
    </row>
    <row r="52" ht="13.5" customHeight="1">
      <c r="A52" s="5"/>
      <c r="B52" s="5"/>
      <c r="C52" s="5"/>
    </row>
    <row r="53" ht="13.5" customHeight="1">
      <c r="A53" s="5"/>
      <c r="B53" s="5"/>
      <c r="C53" s="5"/>
    </row>
    <row r="54" ht="13.5" customHeight="1">
      <c r="A54" s="5"/>
      <c r="B54" s="5"/>
      <c r="C54" s="5"/>
    </row>
    <row r="55" ht="13.5" customHeight="1">
      <c r="A55" s="5"/>
      <c r="B55" s="5"/>
      <c r="C55" s="5"/>
    </row>
    <row r="56" ht="13.5" customHeight="1">
      <c r="A56" s="5"/>
      <c r="B56" s="5"/>
      <c r="C56" s="5"/>
    </row>
    <row r="57" ht="13.5" customHeight="1">
      <c r="A57" s="5"/>
      <c r="B57" s="5"/>
      <c r="C57" s="5"/>
    </row>
    <row r="58" ht="13.5" customHeight="1">
      <c r="A58" s="5"/>
      <c r="B58" s="5"/>
      <c r="C58" s="5"/>
    </row>
    <row r="59" ht="13.5" customHeight="1">
      <c r="A59" s="5"/>
      <c r="B59" s="5"/>
      <c r="C59" s="5"/>
    </row>
    <row r="60" ht="13.5" customHeight="1">
      <c r="A60" s="5"/>
      <c r="B60" s="5"/>
      <c r="C60" s="5"/>
    </row>
    <row r="61" ht="13.5" customHeight="1">
      <c r="A61" s="5"/>
      <c r="B61" s="5"/>
      <c r="C61" s="5"/>
    </row>
    <row r="62" ht="13.5" customHeight="1">
      <c r="A62" s="5"/>
      <c r="B62" s="5"/>
      <c r="C62" s="5"/>
    </row>
    <row r="63" ht="13.5" customHeight="1">
      <c r="A63" s="5"/>
      <c r="B63" s="5"/>
      <c r="C63" s="5"/>
    </row>
    <row r="64" ht="13.5" customHeight="1">
      <c r="A64" s="5"/>
      <c r="B64" s="5"/>
      <c r="C64" s="5"/>
    </row>
    <row r="65" ht="13.5" customHeight="1">
      <c r="A65" s="5"/>
      <c r="B65" s="5"/>
      <c r="C65" s="5"/>
    </row>
    <row r="66" ht="13.5" customHeight="1">
      <c r="A66" s="5"/>
      <c r="B66" s="5"/>
      <c r="C66" s="5"/>
    </row>
    <row r="67" ht="13.5" customHeight="1">
      <c r="A67" s="5"/>
      <c r="B67" s="5"/>
      <c r="C67" s="5"/>
    </row>
    <row r="68" ht="13.5" customHeight="1">
      <c r="A68" s="5"/>
      <c r="B68" s="5"/>
      <c r="C68" s="5"/>
    </row>
    <row r="69" ht="13.5" customHeight="1">
      <c r="A69" s="5"/>
      <c r="B69" s="5"/>
      <c r="C69" s="5"/>
    </row>
    <row r="70" ht="13.5" customHeight="1">
      <c r="A70" s="5"/>
      <c r="B70" s="5"/>
      <c r="C70" s="5"/>
    </row>
    <row r="71" ht="13.5" customHeight="1">
      <c r="A71" s="5"/>
      <c r="B71" s="5"/>
      <c r="C71" s="5"/>
    </row>
    <row r="72" ht="13.5" customHeight="1">
      <c r="A72" s="5"/>
      <c r="B72" s="5"/>
      <c r="C72" s="5"/>
    </row>
    <row r="73" ht="13.5" customHeight="1">
      <c r="A73" s="5"/>
      <c r="B73" s="5"/>
      <c r="C73" s="5"/>
    </row>
    <row r="74" ht="13.5" customHeight="1">
      <c r="A74" s="5"/>
      <c r="B74" s="5"/>
      <c r="C74" s="5"/>
    </row>
    <row r="75" ht="13.5" customHeight="1">
      <c r="A75" s="5"/>
      <c r="B75" s="5"/>
      <c r="C75" s="5"/>
    </row>
    <row r="76" ht="13.5" customHeight="1">
      <c r="A76" s="5"/>
      <c r="B76" s="5"/>
      <c r="C76" s="5"/>
    </row>
    <row r="77" ht="13.5" customHeight="1">
      <c r="A77" s="5"/>
      <c r="B77" s="5"/>
      <c r="C77" s="5"/>
    </row>
    <row r="78" ht="13.5" customHeight="1">
      <c r="A78" s="5"/>
      <c r="B78" s="5"/>
      <c r="C78" s="5"/>
    </row>
    <row r="79" ht="13.5" customHeight="1">
      <c r="A79" s="5"/>
      <c r="B79" s="5"/>
      <c r="C79" s="5"/>
    </row>
    <row r="80" ht="13.5" customHeight="1">
      <c r="A80" s="5"/>
      <c r="B80" s="5"/>
      <c r="C80" s="5"/>
    </row>
    <row r="81" ht="13.5" customHeight="1">
      <c r="A81" s="5"/>
      <c r="B81" s="5"/>
      <c r="C81" s="5"/>
    </row>
    <row r="82" ht="13.5" customHeight="1">
      <c r="A82" s="5"/>
      <c r="B82" s="5"/>
      <c r="C82" s="5"/>
    </row>
    <row r="83" ht="13.5" customHeight="1">
      <c r="A83" s="5"/>
      <c r="B83" s="5"/>
      <c r="C83" s="5"/>
    </row>
    <row r="84" ht="13.5" customHeight="1">
      <c r="A84" s="5"/>
      <c r="B84" s="5"/>
      <c r="C84" s="5"/>
    </row>
    <row r="85" ht="13.5" customHeight="1">
      <c r="A85" s="5"/>
      <c r="B85" s="5"/>
      <c r="C85" s="5"/>
    </row>
    <row r="86" ht="13.5" customHeight="1">
      <c r="A86" s="5"/>
      <c r="B86" s="5"/>
      <c r="C86" s="5"/>
    </row>
    <row r="87" ht="13.5" customHeight="1">
      <c r="A87" s="5"/>
      <c r="B87" s="5"/>
      <c r="C87" s="5"/>
    </row>
    <row r="88" ht="13.5" customHeight="1">
      <c r="A88" s="5"/>
      <c r="B88" s="5"/>
      <c r="C88" s="5"/>
    </row>
    <row r="89" ht="13.5" customHeight="1">
      <c r="A89" s="5"/>
      <c r="B89" s="5"/>
      <c r="C89" s="5"/>
    </row>
    <row r="90" ht="13.5" customHeight="1">
      <c r="A90" s="5"/>
      <c r="B90" s="5"/>
      <c r="C90" s="5"/>
    </row>
    <row r="91" ht="13.5" customHeight="1">
      <c r="A91" s="5"/>
      <c r="B91" s="5"/>
      <c r="C91" s="5"/>
    </row>
    <row r="92" ht="13.5" customHeight="1">
      <c r="A92" s="5"/>
      <c r="B92" s="5"/>
      <c r="C92" s="5"/>
    </row>
    <row r="93" ht="13.5" customHeight="1">
      <c r="A93" s="5"/>
      <c r="B93" s="5"/>
      <c r="C93" s="5"/>
    </row>
    <row r="94" ht="13.5" customHeight="1">
      <c r="A94" s="5"/>
      <c r="B94" s="5"/>
      <c r="C94" s="5"/>
    </row>
    <row r="95" ht="13.5" customHeight="1">
      <c r="A95" s="5"/>
      <c r="B95" s="5"/>
      <c r="C95" s="5"/>
    </row>
    <row r="96" ht="13.5" customHeight="1">
      <c r="A96" s="5"/>
      <c r="B96" s="5"/>
      <c r="C96" s="5"/>
    </row>
    <row r="97" ht="13.5" customHeight="1">
      <c r="A97" s="5"/>
      <c r="B97" s="5"/>
      <c r="C97" s="5"/>
    </row>
    <row r="98" ht="13.5" customHeight="1">
      <c r="A98" s="5"/>
      <c r="B98" s="5"/>
      <c r="C98" s="5"/>
    </row>
    <row r="99" ht="13.5" customHeight="1">
      <c r="A99" s="5"/>
      <c r="B99" s="5"/>
      <c r="C99" s="5"/>
    </row>
    <row r="100" ht="13.5" customHeight="1">
      <c r="A100" s="5"/>
      <c r="B100" s="5"/>
      <c r="C100" s="5"/>
    </row>
    <row r="101" ht="13.5" customHeight="1">
      <c r="A101" s="5"/>
      <c r="B101" s="5"/>
      <c r="C101" s="5"/>
    </row>
    <row r="102" ht="13.5" customHeight="1">
      <c r="A102" s="5"/>
      <c r="B102" s="5"/>
      <c r="C102" s="5"/>
    </row>
    <row r="103" ht="13.5" customHeight="1">
      <c r="A103" s="5"/>
      <c r="B103" s="5"/>
      <c r="C103" s="5"/>
    </row>
    <row r="104" ht="13.5" customHeight="1">
      <c r="A104" s="5"/>
      <c r="B104" s="5"/>
      <c r="C104" s="5"/>
    </row>
    <row r="105" ht="13.5" customHeight="1">
      <c r="A105" s="5"/>
      <c r="B105" s="5"/>
      <c r="C105" s="5"/>
    </row>
    <row r="106" ht="13.5" customHeight="1">
      <c r="A106" s="5"/>
      <c r="B106" s="5"/>
      <c r="C106" s="5"/>
    </row>
    <row r="107" ht="13.5" customHeight="1">
      <c r="A107" s="5"/>
      <c r="B107" s="5"/>
      <c r="C107" s="5"/>
    </row>
    <row r="108" ht="13.5" customHeight="1">
      <c r="A108" s="5"/>
      <c r="B108" s="5"/>
      <c r="C108" s="5"/>
    </row>
    <row r="109" ht="13.5" customHeight="1">
      <c r="A109" s="5"/>
      <c r="B109" s="5"/>
      <c r="C109" s="5"/>
    </row>
    <row r="110" ht="13.5" customHeight="1">
      <c r="A110" s="5"/>
      <c r="B110" s="5"/>
      <c r="C110" s="5"/>
    </row>
    <row r="111" ht="13.5" customHeight="1">
      <c r="A111" s="5"/>
      <c r="B111" s="5"/>
      <c r="C111" s="5"/>
    </row>
    <row r="112" ht="13.5" customHeight="1">
      <c r="A112" s="5"/>
      <c r="B112" s="5"/>
      <c r="C112" s="5"/>
    </row>
    <row r="113" ht="13.5" customHeight="1">
      <c r="A113" s="5"/>
      <c r="B113" s="5"/>
      <c r="C113" s="5"/>
    </row>
    <row r="114" ht="13.5" customHeight="1">
      <c r="A114" s="5"/>
      <c r="B114" s="5"/>
      <c r="C114" s="5"/>
    </row>
    <row r="115" ht="13.5" customHeight="1">
      <c r="A115" s="5"/>
      <c r="B115" s="5"/>
      <c r="C115" s="5"/>
    </row>
    <row r="116" ht="13.5" customHeight="1">
      <c r="A116" s="5"/>
      <c r="B116" s="5"/>
      <c r="C116" s="5"/>
    </row>
    <row r="117" ht="13.5" customHeight="1">
      <c r="A117" s="5"/>
      <c r="B117" s="5"/>
      <c r="C117" s="5"/>
    </row>
    <row r="118" ht="13.5" customHeight="1">
      <c r="A118" s="5"/>
      <c r="B118" s="5"/>
      <c r="C118" s="5"/>
    </row>
    <row r="119" ht="13.5" customHeight="1">
      <c r="A119" s="5"/>
      <c r="B119" s="5"/>
      <c r="C119" s="5"/>
    </row>
    <row r="120" ht="13.5" customHeight="1">
      <c r="A120" s="5"/>
      <c r="B120" s="5"/>
      <c r="C120" s="5"/>
    </row>
    <row r="121" ht="13.5" customHeight="1">
      <c r="A121" s="5"/>
      <c r="B121" s="5"/>
      <c r="C121" s="5"/>
    </row>
    <row r="122" ht="13.5" customHeight="1">
      <c r="A122" s="5"/>
      <c r="B122" s="5"/>
      <c r="C122" s="5"/>
    </row>
    <row r="123" ht="13.5" customHeight="1">
      <c r="A123" s="5"/>
      <c r="B123" s="5"/>
      <c r="C123" s="5"/>
    </row>
    <row r="124" ht="13.5" customHeight="1">
      <c r="A124" s="5"/>
      <c r="B124" s="5"/>
      <c r="C124" s="5"/>
    </row>
    <row r="125" ht="13.5" customHeight="1">
      <c r="A125" s="5"/>
      <c r="B125" s="5"/>
      <c r="C125" s="5"/>
    </row>
    <row r="126" ht="13.5" customHeight="1">
      <c r="A126" s="5"/>
      <c r="B126" s="5"/>
      <c r="C126" s="5"/>
    </row>
    <row r="127" ht="13.5" customHeight="1">
      <c r="A127" s="5"/>
      <c r="B127" s="5"/>
      <c r="C127" s="5"/>
    </row>
    <row r="128" ht="13.5" customHeight="1">
      <c r="A128" s="5"/>
      <c r="B128" s="5"/>
      <c r="C128" s="5"/>
    </row>
    <row r="129" ht="13.5" customHeight="1">
      <c r="A129" s="5"/>
      <c r="B129" s="5"/>
      <c r="C129" s="5"/>
    </row>
    <row r="130" ht="13.5" customHeight="1">
      <c r="A130" s="5"/>
      <c r="B130" s="5"/>
      <c r="C130" s="5"/>
    </row>
    <row r="131" ht="13.5" customHeight="1">
      <c r="A131" s="5"/>
      <c r="B131" s="5"/>
      <c r="C131" s="5"/>
    </row>
    <row r="132" ht="13.5" customHeight="1">
      <c r="A132" s="5"/>
      <c r="B132" s="5"/>
      <c r="C132" s="5"/>
    </row>
    <row r="133" ht="13.5" customHeight="1">
      <c r="A133" s="5"/>
      <c r="B133" s="5"/>
      <c r="C133" s="5"/>
    </row>
    <row r="134" ht="13.5" customHeight="1">
      <c r="A134" s="5"/>
      <c r="B134" s="5"/>
      <c r="C134" s="5"/>
    </row>
    <row r="135" ht="13.5" customHeight="1">
      <c r="A135" s="5"/>
      <c r="B135" s="5"/>
      <c r="C135" s="5"/>
    </row>
    <row r="136" ht="13.5" customHeight="1">
      <c r="A136" s="5"/>
      <c r="B136" s="5"/>
      <c r="C136" s="5"/>
    </row>
    <row r="137" ht="13.5" customHeight="1">
      <c r="A137" s="5"/>
      <c r="B137" s="5"/>
      <c r="C137" s="5"/>
    </row>
    <row r="138" ht="13.5" customHeight="1">
      <c r="A138" s="5"/>
      <c r="B138" s="5"/>
      <c r="C138" s="5"/>
    </row>
    <row r="139" ht="13.5" customHeight="1">
      <c r="A139" s="5"/>
      <c r="B139" s="5"/>
      <c r="C139" s="5"/>
    </row>
    <row r="140" ht="13.5" customHeight="1">
      <c r="A140" s="5"/>
      <c r="B140" s="5"/>
      <c r="C140" s="5"/>
    </row>
    <row r="141" ht="13.5" customHeight="1">
      <c r="A141" s="5"/>
      <c r="B141" s="5"/>
      <c r="C141" s="5"/>
    </row>
    <row r="142" ht="13.5" customHeight="1">
      <c r="A142" s="5"/>
      <c r="B142" s="5"/>
      <c r="C142" s="5"/>
    </row>
    <row r="143" ht="13.5" customHeight="1">
      <c r="A143" s="5"/>
      <c r="B143" s="5"/>
      <c r="C143" s="5"/>
    </row>
    <row r="144" ht="13.5" customHeight="1">
      <c r="A144" s="5"/>
      <c r="B144" s="5"/>
      <c r="C144" s="5"/>
    </row>
    <row r="145" ht="13.5" customHeight="1">
      <c r="A145" s="5"/>
      <c r="B145" s="5"/>
      <c r="C145" s="5"/>
    </row>
    <row r="146" ht="13.5" customHeight="1">
      <c r="A146" s="5"/>
      <c r="B146" s="5"/>
      <c r="C146" s="5"/>
    </row>
    <row r="147" ht="13.5" customHeight="1">
      <c r="A147" s="5"/>
      <c r="B147" s="5"/>
      <c r="C147" s="5"/>
    </row>
    <row r="148" ht="13.5" customHeight="1">
      <c r="A148" s="5"/>
      <c r="B148" s="5"/>
      <c r="C148" s="5"/>
    </row>
    <row r="149" ht="13.5" customHeight="1">
      <c r="A149" s="5"/>
      <c r="B149" s="5"/>
      <c r="C149" s="5"/>
    </row>
    <row r="150" ht="13.5" customHeight="1">
      <c r="A150" s="5"/>
      <c r="B150" s="5"/>
      <c r="C150" s="5"/>
    </row>
    <row r="151" ht="13.5" customHeight="1">
      <c r="A151" s="5"/>
      <c r="B151" s="5"/>
      <c r="C151" s="5"/>
    </row>
    <row r="152" ht="13.5" customHeight="1">
      <c r="A152" s="5"/>
      <c r="B152" s="5"/>
      <c r="C152" s="5"/>
    </row>
    <row r="153" ht="13.5" customHeight="1">
      <c r="A153" s="5"/>
      <c r="B153" s="5"/>
      <c r="C153" s="5"/>
    </row>
    <row r="154" ht="13.5" customHeight="1">
      <c r="A154" s="5"/>
      <c r="B154" s="5"/>
      <c r="C154" s="5"/>
    </row>
    <row r="155" ht="13.5" customHeight="1">
      <c r="A155" s="5"/>
      <c r="B155" s="5"/>
      <c r="C155" s="5"/>
    </row>
    <row r="156" ht="13.5" customHeight="1">
      <c r="A156" s="5"/>
      <c r="B156" s="5"/>
      <c r="C156" s="5"/>
    </row>
    <row r="157" ht="13.5" customHeight="1">
      <c r="A157" s="5"/>
      <c r="B157" s="5"/>
      <c r="C157" s="5"/>
    </row>
    <row r="158" ht="13.5" customHeight="1">
      <c r="A158" s="5"/>
      <c r="B158" s="5"/>
      <c r="C158" s="5"/>
    </row>
    <row r="159" ht="13.5" customHeight="1">
      <c r="A159" s="5"/>
      <c r="B159" s="5"/>
      <c r="C159" s="5"/>
    </row>
    <row r="160" ht="13.5" customHeight="1">
      <c r="A160" s="5"/>
      <c r="B160" s="5"/>
      <c r="C160" s="5"/>
    </row>
    <row r="161" ht="13.5" customHeight="1">
      <c r="A161" s="5"/>
      <c r="B161" s="5"/>
      <c r="C161" s="5"/>
    </row>
    <row r="162" ht="13.5" customHeight="1">
      <c r="A162" s="5"/>
      <c r="B162" s="5"/>
      <c r="C162" s="5"/>
    </row>
    <row r="163" ht="13.5" customHeight="1">
      <c r="A163" s="5"/>
      <c r="B163" s="5"/>
      <c r="C163" s="5"/>
    </row>
    <row r="164" ht="13.5" customHeight="1">
      <c r="A164" s="5"/>
      <c r="B164" s="5"/>
      <c r="C164" s="5"/>
    </row>
    <row r="165" ht="13.5" customHeight="1">
      <c r="A165" s="5"/>
      <c r="B165" s="5"/>
      <c r="C165" s="5"/>
    </row>
    <row r="166" ht="13.5" customHeight="1">
      <c r="A166" s="5"/>
      <c r="B166" s="5"/>
      <c r="C166" s="5"/>
    </row>
    <row r="167" ht="13.5" customHeight="1">
      <c r="A167" s="5"/>
      <c r="B167" s="5"/>
      <c r="C167" s="5"/>
    </row>
    <row r="168" ht="13.5" customHeight="1">
      <c r="A168" s="5"/>
      <c r="B168" s="5"/>
      <c r="C168" s="5"/>
    </row>
    <row r="169" ht="13.5" customHeight="1">
      <c r="A169" s="5"/>
      <c r="B169" s="5"/>
      <c r="C169" s="5"/>
    </row>
    <row r="170" ht="13.5" customHeight="1">
      <c r="A170" s="5"/>
      <c r="B170" s="5"/>
      <c r="C170" s="5"/>
    </row>
    <row r="171" ht="13.5" customHeight="1">
      <c r="A171" s="5"/>
      <c r="B171" s="5"/>
      <c r="C171" s="5"/>
    </row>
    <row r="172" ht="13.5" customHeight="1">
      <c r="A172" s="5"/>
      <c r="B172" s="5"/>
      <c r="C172" s="5"/>
    </row>
    <row r="173" ht="13.5" customHeight="1">
      <c r="A173" s="5"/>
      <c r="B173" s="5"/>
      <c r="C173" s="5"/>
    </row>
    <row r="174" ht="13.5" customHeight="1">
      <c r="A174" s="5"/>
      <c r="B174" s="5"/>
      <c r="C174" s="5"/>
    </row>
    <row r="175" ht="13.5" customHeight="1">
      <c r="A175" s="5"/>
      <c r="B175" s="5"/>
      <c r="C175" s="5"/>
    </row>
    <row r="176" ht="13.5" customHeight="1">
      <c r="A176" s="5"/>
      <c r="B176" s="5"/>
      <c r="C176" s="5"/>
    </row>
    <row r="177" ht="13.5" customHeight="1">
      <c r="A177" s="5"/>
      <c r="B177" s="5"/>
      <c r="C177" s="5"/>
    </row>
    <row r="178" ht="13.5" customHeight="1">
      <c r="A178" s="5"/>
      <c r="B178" s="5"/>
      <c r="C178" s="5"/>
    </row>
    <row r="179" ht="13.5" customHeight="1">
      <c r="A179" s="5"/>
      <c r="B179" s="5"/>
      <c r="C179" s="5"/>
    </row>
    <row r="180" ht="13.5" customHeight="1">
      <c r="A180" s="5"/>
      <c r="B180" s="5"/>
      <c r="C180" s="5"/>
    </row>
    <row r="181" ht="13.5" customHeight="1">
      <c r="A181" s="5"/>
      <c r="B181" s="5"/>
      <c r="C181" s="5"/>
    </row>
    <row r="182" ht="13.5" customHeight="1">
      <c r="A182" s="5"/>
      <c r="B182" s="5"/>
      <c r="C182" s="5"/>
    </row>
    <row r="183" ht="13.5" customHeight="1">
      <c r="A183" s="5"/>
      <c r="B183" s="5"/>
      <c r="C183" s="5"/>
    </row>
    <row r="184" ht="13.5" customHeight="1">
      <c r="A184" s="5"/>
      <c r="B184" s="5"/>
      <c r="C184" s="5"/>
    </row>
    <row r="185" ht="13.5" customHeight="1">
      <c r="A185" s="5"/>
      <c r="B185" s="5"/>
      <c r="C185" s="5"/>
    </row>
    <row r="186" ht="13.5" customHeight="1">
      <c r="A186" s="5"/>
      <c r="B186" s="5"/>
      <c r="C186" s="5"/>
    </row>
    <row r="187" ht="13.5" customHeight="1">
      <c r="A187" s="5"/>
      <c r="B187" s="5"/>
      <c r="C187" s="5"/>
    </row>
    <row r="188" ht="13.5" customHeight="1">
      <c r="A188" s="5"/>
      <c r="B188" s="5"/>
      <c r="C188" s="5"/>
    </row>
    <row r="189" ht="13.5" customHeight="1">
      <c r="A189" s="5"/>
      <c r="B189" s="5"/>
      <c r="C189" s="5"/>
    </row>
    <row r="190" ht="13.5" customHeight="1">
      <c r="A190" s="5"/>
      <c r="B190" s="5"/>
      <c r="C190" s="5"/>
    </row>
    <row r="191" ht="13.5" customHeight="1">
      <c r="A191" s="5"/>
      <c r="B191" s="5"/>
      <c r="C191" s="5"/>
    </row>
    <row r="192" ht="13.5" customHeight="1">
      <c r="A192" s="5"/>
      <c r="B192" s="5"/>
      <c r="C192" s="5"/>
    </row>
    <row r="193" ht="13.5" customHeight="1">
      <c r="A193" s="5"/>
      <c r="B193" s="5"/>
      <c r="C193" s="5"/>
    </row>
    <row r="194" ht="13.5" customHeight="1">
      <c r="A194" s="5"/>
      <c r="B194" s="5"/>
      <c r="C194" s="5"/>
    </row>
    <row r="195" ht="13.5" customHeight="1">
      <c r="A195" s="5"/>
      <c r="B195" s="5"/>
      <c r="C195" s="5"/>
    </row>
    <row r="196" ht="13.5" customHeight="1">
      <c r="A196" s="5"/>
      <c r="B196" s="5"/>
      <c r="C196" s="5"/>
    </row>
    <row r="197" ht="13.5" customHeight="1">
      <c r="A197" s="5"/>
      <c r="B197" s="5"/>
      <c r="C197" s="5"/>
    </row>
    <row r="198" ht="13.5" customHeight="1">
      <c r="A198" s="5"/>
      <c r="B198" s="5"/>
      <c r="C198" s="5"/>
    </row>
    <row r="199" ht="13.5" customHeight="1">
      <c r="A199" s="5"/>
      <c r="B199" s="5"/>
      <c r="C199" s="5"/>
    </row>
    <row r="200" ht="13.5" customHeight="1">
      <c r="A200" s="5"/>
      <c r="B200" s="5"/>
      <c r="C200" s="5"/>
    </row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44.63"/>
    <col customWidth="1" min="3" max="26" width="8.88"/>
  </cols>
  <sheetData>
    <row r="1" ht="13.5" customHeight="1">
      <c r="A1" s="8" t="s">
        <v>367</v>
      </c>
      <c r="B1" s="8"/>
    </row>
    <row r="2" ht="13.5" customHeight="1">
      <c r="A2" s="5" t="s">
        <v>368</v>
      </c>
      <c r="B2" s="5" t="s">
        <v>369</v>
      </c>
    </row>
    <row r="3" ht="13.5" customHeight="1">
      <c r="A3" s="5" t="s">
        <v>370</v>
      </c>
      <c r="B3" s="5" t="s">
        <v>371</v>
      </c>
    </row>
    <row r="4" ht="13.5" customHeight="1">
      <c r="A4" s="5" t="s">
        <v>372</v>
      </c>
      <c r="B4" s="5" t="s">
        <v>373</v>
      </c>
    </row>
    <row r="5" ht="13.5" customHeight="1">
      <c r="A5" s="5" t="s">
        <v>374</v>
      </c>
      <c r="B5" s="5" t="s">
        <v>375</v>
      </c>
    </row>
    <row r="6" ht="13.5" customHeight="1">
      <c r="A6" s="5" t="s">
        <v>376</v>
      </c>
      <c r="B6" s="5" t="s">
        <v>377</v>
      </c>
    </row>
    <row r="7" ht="13.5" customHeight="1">
      <c r="A7" s="5"/>
      <c r="B7" s="5"/>
    </row>
    <row r="8" ht="13.5" customHeight="1">
      <c r="A8" s="5"/>
      <c r="B8" s="5"/>
    </row>
    <row r="9" ht="13.5" customHeight="1">
      <c r="A9" s="5"/>
      <c r="B9" s="5"/>
    </row>
    <row r="10" ht="13.5" customHeight="1">
      <c r="A10" s="5"/>
      <c r="B10" s="5"/>
    </row>
    <row r="11" ht="13.5" customHeight="1">
      <c r="A11" s="5"/>
      <c r="B11" s="5"/>
    </row>
    <row r="12" ht="13.5" customHeight="1">
      <c r="A12" s="5"/>
      <c r="B12" s="5"/>
    </row>
    <row r="13" ht="13.5" customHeight="1">
      <c r="A13" s="5"/>
      <c r="B13" s="5"/>
    </row>
    <row r="14" ht="13.5" customHeight="1">
      <c r="A14" s="5"/>
      <c r="B14" s="5"/>
    </row>
    <row r="15" ht="13.5" customHeight="1">
      <c r="A15" s="5"/>
      <c r="B15" s="5"/>
    </row>
    <row r="16" ht="13.5" customHeight="1">
      <c r="A16" s="5"/>
      <c r="B16" s="5"/>
    </row>
    <row r="17" ht="13.5" customHeight="1">
      <c r="A17" s="5"/>
      <c r="B17" s="5"/>
    </row>
    <row r="18" ht="13.5" customHeight="1">
      <c r="A18" s="5"/>
      <c r="B18" s="5"/>
    </row>
    <row r="19" ht="13.5" customHeight="1">
      <c r="A19" s="5"/>
      <c r="B19" s="5"/>
    </row>
    <row r="20" ht="13.5" customHeight="1">
      <c r="A20" s="5"/>
      <c r="B20" s="5"/>
    </row>
    <row r="21" ht="13.5" customHeight="1">
      <c r="A21" s="5"/>
      <c r="B21" s="5"/>
    </row>
    <row r="22" ht="13.5" customHeight="1">
      <c r="A22" s="5"/>
      <c r="B22" s="5"/>
    </row>
    <row r="23" ht="13.5" customHeight="1">
      <c r="A23" s="5"/>
      <c r="B23" s="5"/>
    </row>
    <row r="24" ht="13.5" customHeight="1">
      <c r="A24" s="5"/>
      <c r="B24" s="5"/>
    </row>
    <row r="25" ht="13.5" customHeight="1">
      <c r="A25" s="5"/>
      <c r="B25" s="5"/>
    </row>
    <row r="26" ht="13.5" customHeight="1">
      <c r="A26" s="5"/>
      <c r="B26" s="5"/>
    </row>
    <row r="27" ht="13.5" customHeight="1">
      <c r="A27" s="5"/>
      <c r="B27" s="5"/>
    </row>
    <row r="28" ht="13.5" customHeight="1">
      <c r="A28" s="5"/>
      <c r="B28" s="5"/>
    </row>
    <row r="29" ht="13.5" customHeight="1">
      <c r="A29" s="5"/>
      <c r="B29" s="5"/>
    </row>
    <row r="30" ht="13.5" customHeight="1">
      <c r="A30" s="5"/>
      <c r="B30" s="5"/>
    </row>
    <row r="31" ht="13.5" customHeight="1">
      <c r="A31" s="5"/>
      <c r="B31" s="5"/>
    </row>
    <row r="32" ht="13.5" customHeight="1">
      <c r="A32" s="5"/>
      <c r="B32" s="5"/>
    </row>
    <row r="33" ht="13.5" customHeight="1">
      <c r="A33" s="5"/>
      <c r="B33" s="5"/>
    </row>
    <row r="34" ht="13.5" customHeight="1">
      <c r="A34" s="5"/>
      <c r="B34" s="5"/>
    </row>
    <row r="35" ht="13.5" customHeight="1">
      <c r="A35" s="5"/>
      <c r="B35" s="5"/>
    </row>
    <row r="36" ht="13.5" customHeight="1">
      <c r="A36" s="5"/>
      <c r="B36" s="5"/>
    </row>
    <row r="37" ht="13.5" customHeight="1">
      <c r="A37" s="5"/>
      <c r="B37" s="5"/>
    </row>
    <row r="38" ht="13.5" customHeight="1">
      <c r="A38" s="5"/>
      <c r="B38" s="5"/>
    </row>
    <row r="39" ht="13.5" customHeight="1">
      <c r="A39" s="5"/>
      <c r="B39" s="5"/>
    </row>
    <row r="40" ht="13.5" customHeight="1">
      <c r="A40" s="5"/>
      <c r="B40" s="5"/>
    </row>
    <row r="41" ht="13.5" customHeight="1">
      <c r="A41" s="5"/>
      <c r="B41" s="5"/>
    </row>
    <row r="42" ht="13.5" customHeight="1">
      <c r="A42" s="5"/>
      <c r="B42" s="5"/>
    </row>
    <row r="43" ht="13.5" customHeight="1">
      <c r="A43" s="5"/>
      <c r="B43" s="5"/>
    </row>
    <row r="44" ht="13.5" customHeight="1">
      <c r="A44" s="5"/>
      <c r="B44" s="5"/>
    </row>
    <row r="45" ht="13.5" customHeight="1">
      <c r="A45" s="5"/>
      <c r="B45" s="5"/>
    </row>
    <row r="46" ht="13.5" customHeight="1">
      <c r="A46" s="5"/>
      <c r="B46" s="5"/>
    </row>
    <row r="47" ht="13.5" customHeight="1">
      <c r="A47" s="5"/>
      <c r="B47" s="5"/>
    </row>
    <row r="48" ht="13.5" customHeight="1">
      <c r="A48" s="5"/>
      <c r="B48" s="5"/>
    </row>
    <row r="49" ht="13.5" customHeight="1">
      <c r="A49" s="5"/>
      <c r="B49" s="5"/>
    </row>
    <row r="50" ht="13.5" customHeight="1">
      <c r="A50" s="5"/>
      <c r="B50" s="5"/>
    </row>
    <row r="51" ht="13.5" customHeight="1">
      <c r="A51" s="5"/>
      <c r="B51" s="5"/>
    </row>
    <row r="52" ht="13.5" customHeight="1">
      <c r="A52" s="5"/>
      <c r="B52" s="5"/>
    </row>
    <row r="53" ht="13.5" customHeight="1">
      <c r="A53" s="5"/>
      <c r="B53" s="5"/>
    </row>
    <row r="54" ht="13.5" customHeight="1">
      <c r="A54" s="5"/>
      <c r="B54" s="5"/>
    </row>
    <row r="55" ht="13.5" customHeight="1">
      <c r="A55" s="5"/>
      <c r="B55" s="5"/>
    </row>
    <row r="56" ht="13.5" customHeight="1">
      <c r="A56" s="5"/>
      <c r="B56" s="5"/>
    </row>
    <row r="57" ht="13.5" customHeight="1">
      <c r="A57" s="5"/>
      <c r="B57" s="5"/>
    </row>
    <row r="58" ht="13.5" customHeight="1">
      <c r="A58" s="5"/>
      <c r="B58" s="5"/>
    </row>
    <row r="59" ht="13.5" customHeight="1">
      <c r="A59" s="5"/>
      <c r="B59" s="5"/>
    </row>
    <row r="60" ht="13.5" customHeight="1">
      <c r="A60" s="5"/>
      <c r="B60" s="5"/>
    </row>
    <row r="61" ht="13.5" customHeight="1">
      <c r="A61" s="5"/>
      <c r="B61" s="5"/>
    </row>
    <row r="62" ht="13.5" customHeight="1">
      <c r="A62" s="5"/>
      <c r="B62" s="5"/>
    </row>
    <row r="63" ht="13.5" customHeight="1">
      <c r="A63" s="5"/>
      <c r="B63" s="5"/>
    </row>
    <row r="64" ht="13.5" customHeight="1">
      <c r="A64" s="5"/>
      <c r="B64" s="5"/>
    </row>
    <row r="65" ht="13.5" customHeight="1">
      <c r="A65" s="5"/>
      <c r="B65" s="5"/>
    </row>
    <row r="66" ht="13.5" customHeight="1">
      <c r="A66" s="5"/>
      <c r="B66" s="5"/>
    </row>
    <row r="67" ht="13.5" customHeight="1">
      <c r="A67" s="5"/>
      <c r="B67" s="5"/>
    </row>
    <row r="68" ht="13.5" customHeight="1">
      <c r="A68" s="5"/>
      <c r="B68" s="5"/>
    </row>
    <row r="69" ht="13.5" customHeight="1">
      <c r="A69" s="5"/>
      <c r="B69" s="5"/>
    </row>
    <row r="70" ht="13.5" customHeight="1">
      <c r="A70" s="5"/>
      <c r="B70" s="5"/>
    </row>
    <row r="71" ht="13.5" customHeight="1">
      <c r="A71" s="5"/>
      <c r="B71" s="5"/>
    </row>
    <row r="72" ht="13.5" customHeight="1">
      <c r="A72" s="5"/>
      <c r="B72" s="5"/>
    </row>
    <row r="73" ht="13.5" customHeight="1">
      <c r="A73" s="5"/>
      <c r="B73" s="5"/>
    </row>
    <row r="74" ht="13.5" customHeight="1">
      <c r="A74" s="5"/>
      <c r="B74" s="5"/>
    </row>
    <row r="75" ht="13.5" customHeight="1">
      <c r="A75" s="5"/>
      <c r="B75" s="5"/>
    </row>
    <row r="76" ht="13.5" customHeight="1">
      <c r="A76" s="5"/>
      <c r="B76" s="5"/>
    </row>
    <row r="77" ht="13.5" customHeight="1">
      <c r="A77" s="5"/>
      <c r="B77" s="5"/>
    </row>
    <row r="78" ht="13.5" customHeight="1">
      <c r="A78" s="5"/>
      <c r="B78" s="5"/>
    </row>
    <row r="79" ht="13.5" customHeight="1">
      <c r="A79" s="5"/>
      <c r="B79" s="5"/>
    </row>
    <row r="80" ht="13.5" customHeight="1">
      <c r="A80" s="5"/>
      <c r="B80" s="5"/>
    </row>
    <row r="81" ht="13.5" customHeight="1">
      <c r="A81" s="5"/>
      <c r="B81" s="5"/>
    </row>
    <row r="82" ht="13.5" customHeight="1">
      <c r="A82" s="5"/>
      <c r="B82" s="5"/>
    </row>
    <row r="83" ht="13.5" customHeight="1">
      <c r="A83" s="5"/>
      <c r="B83" s="5"/>
    </row>
    <row r="84" ht="13.5" customHeight="1">
      <c r="A84" s="5"/>
      <c r="B84" s="5"/>
    </row>
    <row r="85" ht="13.5" customHeight="1">
      <c r="A85" s="5"/>
      <c r="B85" s="5"/>
    </row>
    <row r="86" ht="13.5" customHeight="1">
      <c r="A86" s="5"/>
      <c r="B86" s="5"/>
    </row>
    <row r="87" ht="13.5" customHeight="1">
      <c r="A87" s="5"/>
      <c r="B87" s="5"/>
    </row>
    <row r="88" ht="13.5" customHeight="1">
      <c r="A88" s="5"/>
      <c r="B88" s="5"/>
    </row>
    <row r="89" ht="13.5" customHeight="1">
      <c r="A89" s="5"/>
      <c r="B89" s="5"/>
    </row>
    <row r="90" ht="13.5" customHeight="1">
      <c r="A90" s="5"/>
      <c r="B90" s="5"/>
    </row>
    <row r="91" ht="13.5" customHeight="1">
      <c r="A91" s="5"/>
      <c r="B91" s="5"/>
    </row>
    <row r="92" ht="13.5" customHeight="1">
      <c r="A92" s="5"/>
      <c r="B92" s="5"/>
    </row>
    <row r="93" ht="13.5" customHeight="1">
      <c r="A93" s="5"/>
      <c r="B93" s="5"/>
    </row>
    <row r="94" ht="13.5" customHeight="1">
      <c r="A94" s="5"/>
      <c r="B94" s="5"/>
    </row>
    <row r="95" ht="13.5" customHeight="1">
      <c r="A95" s="5"/>
      <c r="B95" s="5"/>
    </row>
    <row r="96" ht="13.5" customHeight="1">
      <c r="A96" s="5"/>
      <c r="B96" s="5"/>
    </row>
    <row r="97" ht="13.5" customHeight="1">
      <c r="A97" s="5"/>
      <c r="B97" s="5"/>
    </row>
    <row r="98" ht="13.5" customHeight="1">
      <c r="A98" s="5"/>
      <c r="B98" s="5"/>
    </row>
    <row r="99" ht="13.5" customHeight="1">
      <c r="A99" s="5"/>
      <c r="B99" s="5"/>
    </row>
    <row r="100" ht="13.5" customHeight="1">
      <c r="A100" s="5"/>
      <c r="B100" s="5"/>
    </row>
    <row r="101" ht="13.5" customHeight="1">
      <c r="A101" s="5"/>
      <c r="B101" s="5"/>
    </row>
    <row r="102" ht="13.5" customHeight="1">
      <c r="A102" s="5"/>
      <c r="B102" s="5"/>
    </row>
    <row r="103" ht="13.5" customHeight="1">
      <c r="A103" s="5"/>
      <c r="B103" s="5"/>
    </row>
    <row r="104" ht="13.5" customHeight="1">
      <c r="A104" s="5"/>
      <c r="B104" s="5"/>
    </row>
    <row r="105" ht="13.5" customHeight="1">
      <c r="A105" s="5"/>
      <c r="B105" s="5"/>
    </row>
    <row r="106" ht="13.5" customHeight="1">
      <c r="A106" s="5"/>
      <c r="B106" s="5"/>
    </row>
    <row r="107" ht="13.5" customHeight="1">
      <c r="A107" s="5"/>
      <c r="B107" s="5"/>
    </row>
    <row r="108" ht="13.5" customHeight="1">
      <c r="A108" s="5"/>
      <c r="B108" s="5"/>
    </row>
    <row r="109" ht="13.5" customHeight="1">
      <c r="A109" s="5"/>
      <c r="B109" s="5"/>
    </row>
    <row r="110" ht="13.5" customHeight="1">
      <c r="A110" s="5"/>
      <c r="B110" s="5"/>
    </row>
    <row r="111" ht="13.5" customHeight="1">
      <c r="A111" s="5"/>
      <c r="B111" s="5"/>
    </row>
    <row r="112" ht="13.5" customHeight="1">
      <c r="A112" s="5"/>
      <c r="B112" s="5"/>
    </row>
    <row r="113" ht="13.5" customHeight="1">
      <c r="A113" s="5"/>
      <c r="B113" s="5"/>
    </row>
    <row r="114" ht="13.5" customHeight="1">
      <c r="A114" s="5"/>
      <c r="B114" s="5"/>
    </row>
    <row r="115" ht="13.5" customHeight="1">
      <c r="A115" s="5"/>
      <c r="B115" s="5"/>
    </row>
    <row r="116" ht="13.5" customHeight="1">
      <c r="A116" s="5"/>
      <c r="B116" s="5"/>
    </row>
    <row r="117" ht="13.5" customHeight="1">
      <c r="A117" s="5"/>
      <c r="B117" s="5"/>
    </row>
    <row r="118" ht="13.5" customHeight="1">
      <c r="A118" s="5"/>
      <c r="B118" s="5"/>
    </row>
    <row r="119" ht="13.5" customHeight="1">
      <c r="A119" s="5"/>
      <c r="B119" s="5"/>
    </row>
    <row r="120" ht="13.5" customHeight="1">
      <c r="A120" s="5"/>
      <c r="B120" s="5"/>
    </row>
    <row r="121" ht="13.5" customHeight="1">
      <c r="A121" s="5"/>
      <c r="B121" s="5"/>
    </row>
    <row r="122" ht="13.5" customHeight="1">
      <c r="A122" s="5"/>
      <c r="B122" s="5"/>
    </row>
    <row r="123" ht="13.5" customHeight="1">
      <c r="A123" s="5"/>
      <c r="B123" s="5"/>
    </row>
    <row r="124" ht="13.5" customHeight="1">
      <c r="A124" s="5"/>
      <c r="B124" s="5"/>
    </row>
    <row r="125" ht="13.5" customHeight="1">
      <c r="A125" s="5"/>
      <c r="B125" s="5"/>
    </row>
    <row r="126" ht="13.5" customHeight="1">
      <c r="A126" s="5"/>
      <c r="B126" s="5"/>
    </row>
    <row r="127" ht="13.5" customHeight="1">
      <c r="A127" s="5"/>
      <c r="B127" s="5"/>
    </row>
    <row r="128" ht="13.5" customHeight="1">
      <c r="A128" s="5"/>
      <c r="B128" s="5"/>
    </row>
    <row r="129" ht="13.5" customHeight="1">
      <c r="A129" s="5"/>
      <c r="B129" s="5"/>
    </row>
    <row r="130" ht="13.5" customHeight="1">
      <c r="A130" s="5"/>
      <c r="B130" s="5"/>
    </row>
    <row r="131" ht="13.5" customHeight="1">
      <c r="A131" s="5"/>
      <c r="B131" s="5"/>
    </row>
    <row r="132" ht="13.5" customHeight="1">
      <c r="A132" s="5"/>
      <c r="B132" s="5"/>
    </row>
    <row r="133" ht="13.5" customHeight="1">
      <c r="A133" s="5"/>
      <c r="B133" s="5"/>
    </row>
    <row r="134" ht="13.5" customHeight="1">
      <c r="A134" s="5"/>
      <c r="B134" s="5"/>
    </row>
    <row r="135" ht="13.5" customHeight="1">
      <c r="A135" s="5"/>
      <c r="B135" s="5"/>
    </row>
    <row r="136" ht="13.5" customHeight="1">
      <c r="A136" s="5"/>
      <c r="B136" s="5"/>
    </row>
    <row r="137" ht="13.5" customHeight="1">
      <c r="A137" s="5"/>
      <c r="B137" s="5"/>
    </row>
    <row r="138" ht="13.5" customHeight="1">
      <c r="A138" s="5"/>
      <c r="B138" s="5"/>
    </row>
    <row r="139" ht="13.5" customHeight="1">
      <c r="A139" s="5"/>
      <c r="B139" s="5"/>
    </row>
    <row r="140" ht="13.5" customHeight="1">
      <c r="A140" s="5"/>
      <c r="B140" s="5"/>
    </row>
    <row r="141" ht="13.5" customHeight="1">
      <c r="A141" s="5"/>
      <c r="B141" s="5"/>
    </row>
    <row r="142" ht="13.5" customHeight="1">
      <c r="A142" s="5"/>
      <c r="B142" s="5"/>
    </row>
    <row r="143" ht="13.5" customHeight="1">
      <c r="A143" s="5"/>
      <c r="B143" s="5"/>
    </row>
    <row r="144" ht="13.5" customHeight="1">
      <c r="A144" s="5"/>
      <c r="B144" s="5"/>
    </row>
    <row r="145" ht="13.5" customHeight="1">
      <c r="A145" s="5"/>
      <c r="B145" s="5"/>
    </row>
    <row r="146" ht="13.5" customHeight="1">
      <c r="A146" s="5"/>
      <c r="B146" s="5"/>
    </row>
    <row r="147" ht="13.5" customHeight="1">
      <c r="A147" s="5"/>
      <c r="B147" s="5"/>
    </row>
    <row r="148" ht="13.5" customHeight="1">
      <c r="A148" s="5"/>
      <c r="B148" s="5"/>
    </row>
    <row r="149" ht="13.5" customHeight="1">
      <c r="A149" s="5"/>
      <c r="B149" s="5"/>
    </row>
    <row r="150" ht="13.5" customHeight="1">
      <c r="A150" s="5"/>
      <c r="B150" s="5"/>
    </row>
    <row r="151" ht="13.5" customHeight="1">
      <c r="A151" s="5"/>
      <c r="B151" s="5"/>
    </row>
    <row r="152" ht="13.5" customHeight="1">
      <c r="A152" s="5"/>
      <c r="B152" s="5"/>
    </row>
    <row r="153" ht="13.5" customHeight="1">
      <c r="A153" s="5"/>
      <c r="B153" s="5"/>
    </row>
    <row r="154" ht="13.5" customHeight="1">
      <c r="A154" s="5"/>
      <c r="B154" s="5"/>
    </row>
    <row r="155" ht="13.5" customHeight="1">
      <c r="A155" s="5"/>
      <c r="B155" s="5"/>
    </row>
    <row r="156" ht="13.5" customHeight="1">
      <c r="A156" s="5"/>
      <c r="B156" s="5"/>
    </row>
    <row r="157" ht="13.5" customHeight="1">
      <c r="A157" s="5"/>
      <c r="B157" s="5"/>
    </row>
    <row r="158" ht="13.5" customHeight="1">
      <c r="A158" s="5"/>
      <c r="B158" s="5"/>
    </row>
    <row r="159" ht="13.5" customHeight="1">
      <c r="A159" s="5"/>
      <c r="B159" s="5"/>
    </row>
    <row r="160" ht="13.5" customHeight="1">
      <c r="A160" s="5"/>
      <c r="B160" s="5"/>
    </row>
    <row r="161" ht="13.5" customHeight="1">
      <c r="A161" s="5"/>
      <c r="B161" s="5"/>
    </row>
    <row r="162" ht="13.5" customHeight="1">
      <c r="A162" s="5"/>
      <c r="B162" s="5"/>
    </row>
    <row r="163" ht="13.5" customHeight="1">
      <c r="A163" s="5"/>
      <c r="B163" s="5"/>
    </row>
    <row r="164" ht="13.5" customHeight="1">
      <c r="A164" s="5"/>
      <c r="B164" s="5"/>
    </row>
    <row r="165" ht="13.5" customHeight="1">
      <c r="A165" s="5"/>
      <c r="B165" s="5"/>
    </row>
    <row r="166" ht="13.5" customHeight="1">
      <c r="A166" s="5"/>
      <c r="B166" s="5"/>
    </row>
    <row r="167" ht="13.5" customHeight="1">
      <c r="A167" s="5"/>
      <c r="B167" s="5"/>
    </row>
    <row r="168" ht="13.5" customHeight="1">
      <c r="A168" s="5"/>
      <c r="B168" s="5"/>
    </row>
    <row r="169" ht="13.5" customHeight="1">
      <c r="A169" s="5"/>
      <c r="B169" s="5"/>
    </row>
    <row r="170" ht="13.5" customHeight="1">
      <c r="A170" s="5"/>
      <c r="B170" s="5"/>
    </row>
    <row r="171" ht="13.5" customHeight="1">
      <c r="A171" s="5"/>
      <c r="B171" s="5"/>
    </row>
    <row r="172" ht="13.5" customHeight="1">
      <c r="A172" s="5"/>
      <c r="B172" s="5"/>
    </row>
    <row r="173" ht="13.5" customHeight="1">
      <c r="A173" s="5"/>
      <c r="B173" s="5"/>
    </row>
    <row r="174" ht="13.5" customHeight="1">
      <c r="A174" s="5"/>
      <c r="B174" s="5"/>
    </row>
    <row r="175" ht="13.5" customHeight="1">
      <c r="A175" s="5"/>
      <c r="B175" s="5"/>
    </row>
    <row r="176" ht="13.5" customHeight="1">
      <c r="A176" s="5"/>
      <c r="B176" s="5"/>
    </row>
    <row r="177" ht="13.5" customHeight="1">
      <c r="A177" s="5"/>
      <c r="B177" s="5"/>
    </row>
    <row r="178" ht="13.5" customHeight="1">
      <c r="A178" s="5"/>
      <c r="B178" s="5"/>
    </row>
    <row r="179" ht="13.5" customHeight="1">
      <c r="A179" s="5"/>
      <c r="B179" s="5"/>
    </row>
    <row r="180" ht="13.5" customHeight="1">
      <c r="A180" s="5"/>
      <c r="B180" s="5"/>
    </row>
    <row r="181" ht="13.5" customHeight="1">
      <c r="A181" s="5"/>
      <c r="B181" s="5"/>
    </row>
    <row r="182" ht="13.5" customHeight="1">
      <c r="A182" s="5"/>
      <c r="B182" s="5"/>
    </row>
    <row r="183" ht="13.5" customHeight="1">
      <c r="A183" s="5"/>
      <c r="B183" s="5"/>
    </row>
    <row r="184" ht="13.5" customHeight="1">
      <c r="A184" s="5"/>
      <c r="B184" s="5"/>
    </row>
    <row r="185" ht="13.5" customHeight="1">
      <c r="A185" s="5"/>
      <c r="B185" s="5"/>
    </row>
    <row r="186" ht="13.5" customHeight="1">
      <c r="A186" s="5"/>
      <c r="B186" s="5"/>
    </row>
    <row r="187" ht="13.5" customHeight="1">
      <c r="A187" s="5"/>
      <c r="B187" s="5"/>
    </row>
    <row r="188" ht="13.5" customHeight="1">
      <c r="A188" s="5"/>
      <c r="B188" s="5"/>
    </row>
    <row r="189" ht="13.5" customHeight="1">
      <c r="A189" s="5"/>
      <c r="B189" s="5"/>
    </row>
    <row r="190" ht="13.5" customHeight="1">
      <c r="A190" s="5"/>
      <c r="B190" s="5"/>
    </row>
    <row r="191" ht="13.5" customHeight="1">
      <c r="A191" s="5"/>
      <c r="B191" s="5"/>
    </row>
    <row r="192" ht="13.5" customHeight="1">
      <c r="A192" s="5"/>
      <c r="B192" s="5"/>
    </row>
    <row r="193" ht="13.5" customHeight="1">
      <c r="A193" s="5"/>
      <c r="B193" s="5"/>
    </row>
    <row r="194" ht="13.5" customHeight="1">
      <c r="A194" s="5"/>
      <c r="B194" s="5"/>
    </row>
    <row r="195" ht="13.5" customHeight="1">
      <c r="A195" s="5"/>
      <c r="B195" s="5"/>
    </row>
    <row r="196" ht="13.5" customHeight="1">
      <c r="A196" s="5"/>
      <c r="B196" s="5"/>
    </row>
    <row r="197" ht="13.5" customHeight="1">
      <c r="A197" s="5"/>
      <c r="B197" s="5"/>
    </row>
    <row r="198" ht="13.5" customHeight="1">
      <c r="A198" s="5"/>
      <c r="B198" s="5"/>
    </row>
    <row r="199" ht="13.5" customHeight="1">
      <c r="A199" s="5"/>
      <c r="B199" s="5"/>
    </row>
    <row r="200" ht="13.5" customHeight="1">
      <c r="A200" s="5"/>
      <c r="B200" s="5"/>
    </row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72.0"/>
    <col customWidth="1" min="3" max="26" width="8.88"/>
  </cols>
  <sheetData>
    <row r="1" ht="45.0" customHeight="1">
      <c r="A1" s="9" t="s">
        <v>378</v>
      </c>
      <c r="B1" s="9" t="s">
        <v>379</v>
      </c>
    </row>
    <row r="2" ht="45.0" customHeight="1">
      <c r="A2" s="10" t="s">
        <v>380</v>
      </c>
      <c r="B2" s="10">
        <f>COUNTA(Landscape!A2:A17)</f>
        <v>16</v>
      </c>
    </row>
    <row r="3" ht="45.0" customHeight="1">
      <c r="A3" s="10" t="s">
        <v>381</v>
      </c>
      <c r="B3" s="10">
        <f>COUNTIF(Landscape!H2:H17,"*Ambient*")+COUNTIF(Landscape!H2:H17,"*conversation*")</f>
        <v>3</v>
      </c>
    </row>
    <row r="4" ht="45.0" customHeight="1">
      <c r="A4" s="10" t="s">
        <v>382</v>
      </c>
      <c r="B4" s="10">
        <f>COUNTIF(Landscape!M2:M17,"Yes*")</f>
        <v>16</v>
      </c>
    </row>
    <row r="5" ht="45.0" customHeight="1">
      <c r="A5" s="10" t="s">
        <v>383</v>
      </c>
      <c r="B5" s="10">
        <f>COUNTIF(Landscape!N2:N17,"Yes*")</f>
        <v>6</v>
      </c>
    </row>
    <row r="6" ht="45.0" customHeight="1">
      <c r="A6" s="10" t="s">
        <v>384</v>
      </c>
      <c r="B6" s="10">
        <f>COUNTIF(Landscape!O2:O17,"Yes*")</f>
        <v>4</v>
      </c>
    </row>
    <row r="7" ht="45.0" customHeight="1">
      <c r="A7" s="10" t="s">
        <v>385</v>
      </c>
      <c r="B7" s="10">
        <f>COUNTIF(Landscape!P2:P17,"Yes*")</f>
        <v>5</v>
      </c>
    </row>
    <row r="8" ht="45.0" customHeight="1">
      <c r="A8" s="10" t="s">
        <v>386</v>
      </c>
      <c r="B8" s="10">
        <f>COUNTIF(Landscape!Q2:Q17,"Yes*")</f>
        <v>4</v>
      </c>
    </row>
    <row r="9" ht="45.0" customHeight="1">
      <c r="A9" s="10" t="s">
        <v>387</v>
      </c>
      <c r="B9" s="10">
        <f>COUNTIF(Landscape!R2:R17,"Yes*")</f>
        <v>5</v>
      </c>
    </row>
    <row r="10" ht="45.0" customHeight="1">
      <c r="A10" s="10" t="s">
        <v>388</v>
      </c>
      <c r="B10" s="10" t="s">
        <v>389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