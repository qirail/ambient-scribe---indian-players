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annahthomas/Downloads/"/>
    </mc:Choice>
  </mc:AlternateContent>
  <xr:revisionPtr revIDLastSave="0" documentId="8_{26DF03F7-968B-B841-AD22-D8A41594BD38}" xr6:coauthVersionLast="47" xr6:coauthVersionMax="47" xr10:uidLastSave="{00000000-0000-0000-0000-000000000000}"/>
  <bookViews>
    <workbookView xWindow="980" yWindow="760" windowWidth="33580" windowHeight="20400" xr2:uid="{00000000-000D-0000-FFFF-FFFF00000000}"/>
  </bookViews>
  <sheets>
    <sheet name="Landscape" sheetId="1" r:id="rId1"/>
    <sheet name="Sources" sheetId="2" r:id="rId2"/>
    <sheet name="Read Me" sheetId="3" r:id="rId3"/>
    <sheet name="Summary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<sst xmlns="http://schemas.openxmlformats.org/spreadsheetml/2006/main" count="583" uniqueCount="390">
  <si>
    <t>Player</t>
  </si>
  <si>
    <t>Website / Source</t>
  </si>
  <si>
    <t>India relevance</t>
  </si>
  <si>
    <t>Category</t>
  </si>
  <si>
    <t>Organisation type</t>
  </si>
  <si>
    <t>Outreach / adoption signals</t>
  </si>
  <si>
    <t>Mode</t>
  </si>
  <si>
    <t>Ambient vs dictation classification</t>
  </si>
  <si>
    <t>Multi-voice / single-speaker assessment</t>
  </si>
  <si>
    <t>Output / discrete-data capability</t>
  </si>
  <si>
    <t>Indian language support - overall</t>
  </si>
  <si>
    <t>English</t>
  </si>
  <si>
    <t>Hindi / Hinglish</t>
  </si>
  <si>
    <t>Bangla / Bengali</t>
  </si>
  <si>
    <t>Tamil</t>
  </si>
  <si>
    <t>Kannada</t>
  </si>
  <si>
    <t>Telugu</t>
  </si>
  <si>
    <t>Malayalam</t>
  </si>
  <si>
    <t>Validation evidence found publicly</t>
  </si>
  <si>
    <t>Evidence confidence</t>
  </si>
  <si>
    <t>Key limitations / due diligence questions</t>
  </si>
  <si>
    <t>Primary source URLs</t>
  </si>
  <si>
    <t>Augnito / Scribetech Healthcare</t>
  </si>
  <si>
    <t>https://augnito.ai/ ; https://indiaai.gov.in/article/augnito-leveraging-voice-ai-to-transform-healthcare</t>
  </si>
  <si>
    <t>India-built product with global deployment; IndiaAI reports ambient clinical intelligence pilots in large Indian hospitals.</t>
  </si>
  <si>
    <t>Medical speech recognition + ambient clinical intelligence</t>
  </si>
  <si>
    <t>Company / established healthcare documentation technology company</t>
  </si>
  <si>
    <t>Company says 450+ hospitals on about-us page; IndiaAI says ambient solution is being piloted at some of India's largest hospitals and enterprises.</t>
  </si>
  <si>
    <t>Desktop/web EMR dictation, Chrome/plugin workflow, mobile microphone app, cloud speech-to-text; ambient product for encounter capture.</t>
  </si>
  <si>
    <t>Both: mature single-speaker dictation plus newer ambient/free-flowing conversation capture.</t>
  </si>
  <si>
    <t>Dictation product is single-speaker clinician-led; ambient product is explicitly free-flowing doctor-patient conversation, likely multi-speaker but public details on speaker diarisation are limited.</t>
  </si>
  <si>
    <t>Dictates notes directly into EMR; IndiaAI says creates structured, EMR-ready data from unstructured conversations.</t>
  </si>
  <si>
    <t>Multilingual speech recognition is claimed, but exact language list not consistently visible on public product page.</t>
  </si>
  <si>
    <t>Yes</t>
  </si>
  <si>
    <t>Not clearly itemised publicly</t>
  </si>
  <si>
    <t>Public claims of 99% accuracy and 50+ specialties; whitepaper/case materials exist, but independent peer-reviewed validation for Indian-language ambient scribing was not found in the quick scan.</t>
  </si>
  <si>
    <t>High for existence and India reach; medium for exact language coverage; low for independent validation.</t>
  </si>
  <si>
    <t>Request product-specific language matrix, WER by language/accent/noise, speaker diarisation performance, clinical note error taxonomy, data-residency details, and hospital pilot outcomes.</t>
  </si>
  <si>
    <t>https://augnito.ai/ | https://augnito.ai/about-us | https://indiaai.gov.in/article/augnito-leveraging-voice-ai-to-transform-healthcare | https://play.google.com/store/apps/details?id=com.scribetech.augnitoappprod | https://chromewebstore.google.com/detail/augnito/loedohmkociaomkgggggnoogiahfinme</t>
  </si>
  <si>
    <t>Medoriax AI</t>
  </si>
  <si>
    <t>https://medoriax.com/</t>
  </si>
  <si>
    <t>India-first medical scribe platform for Indian clinics.</t>
  </si>
  <si>
    <t>AI medical scribe</t>
  </si>
  <si>
    <t>Startup / company</t>
  </si>
  <si>
    <t>Website offers trials/pricing for hospitals and clinics; public outreach numbers not found.</t>
  </si>
  <si>
    <t>Web/app workflow; captures doctor-patient conversations and generates SOAP/structured clinical notes.</t>
  </si>
  <si>
    <t>Ambient-style doctor-patient conversation capture.</t>
  </si>
  <si>
    <t>Likely multi-voice, because product states it captures real doctor-patient conversations; diarisation specifics not public.</t>
  </si>
  <si>
    <t>Accurate SOAP notes; structured clinical notes; documentation generated in English from code-mixed conversations.</t>
  </si>
  <si>
    <t>Explicitly supports code-mixed Indian conversations.</t>
  </si>
  <si>
    <t>Yes; Hindi/Hinglish</t>
  </si>
  <si>
    <t>Yes; Bengali</t>
  </si>
  <si>
    <t>No public claim found</t>
  </si>
  <si>
    <t>Vendor website claims multilingual Indian support; no independent validation located.</t>
  </si>
  <si>
    <t>Medium</t>
  </si>
  <si>
    <t>Clarify Malayalam support, whether Bangla means Bengali speech not only script, specialty coverage, WER and note error rates, and integration options.</t>
  </si>
  <si>
    <t>RxNote</t>
  </si>
  <si>
    <t>https://rxnote.ai/features/ai-scribe ; https://rxnote.ai/features/how-it-works</t>
  </si>
  <si>
    <t>Marketed as India AI scribe for psychiatrists, psychologists, general physicians; trusted in Tamil Nadu per website.</t>
  </si>
  <si>
    <t>AI medical scribe + SOAP note generator</t>
  </si>
  <si>
    <t>Website claims Tamil Nadu clinic trust; public hard adoption count not found.</t>
  </si>
  <si>
    <t>Web app / subscription product; capture conversation and generate SOAP notes in real time.</t>
  </si>
  <si>
    <t>Ambient-style conversation capture with specialty focus, especially mental health and GP settings.</t>
  </si>
  <si>
    <t>Likely multi-voice conversation capture; explicit diarisation/overlap handling not public.</t>
  </si>
  <si>
    <t>SOAP notes, follow-up letters, coding features, pre-visit prep; notes in English from regional-language consultations.</t>
  </si>
  <si>
    <t>Website says 8+ Indian languages and LinkedIn claims Malayalam, Hindi, Telugu, Tamil, Kannada, Bengali, Marathi, Gujarati.</t>
  </si>
  <si>
    <t>Website claims 98% transcription accuracy; no independent clinical validation located.</t>
  </si>
  <si>
    <t>Vendor-claimed 98% accuracy needs independent verification; clarify language-specific performance and psychiatric confidentiality handling.</t>
  </si>
  <si>
    <t>https://rxnote.ai/features/ai-scribe | https://rxnote.ai/features/how-it-works | https://www.linkedin.com/posts/rxnote_rxnote-ai-medical-scribe-for-indian-doctors-activity-7412783258926485504-WHcV</t>
  </si>
  <si>
    <t>EkaScribe / Eka Care</t>
  </si>
  <si>
    <t>https://ekascribe.ai/</t>
  </si>
  <si>
    <t>India-facing product with testimonials from Indian doctors and India cloud hosting claim.</t>
  </si>
  <si>
    <t>AI medical scribe / voice-to-prescription</t>
  </si>
  <si>
    <t>Company / health-tech company</t>
  </si>
  <si>
    <t>Testimonials from Mumbai/Ahmedabad clinicians; product offers free and pro plans; public deployment numbers not found.</t>
  </si>
  <si>
    <t>Web/mobile/Chrome-extension workflow; insert notes into web-based EMRs or copy-paste into offline EMRs.</t>
  </si>
  <si>
    <t>Both ambient AI scribe and voice-to-prescription positioning.</t>
  </si>
  <si>
    <t>Records doctor-patient conversations; likely multi-voice but public documentation on diarisation not found.</t>
  </si>
  <si>
    <t>Clinical summaries, SOAP notes, custom structured notes, prescriptions, EMR-ready outputs.</t>
  </si>
  <si>
    <t>Website claims 20+ languages but exact list not fully visible in retrieved content.</t>
  </si>
  <si>
    <t>Likely, but exact public list needed</t>
  </si>
  <si>
    <t>No independent validation located; website reports user time-savings and clinical-grade accuracy.</t>
  </si>
  <si>
    <t>Obtain exact language list, per-language accuracy, whether it handles code-switching, and whether output can be exported as FHIR/ABDM-compatible structured data.</t>
  </si>
  <si>
    <t>Merago AI Scribe</t>
  </si>
  <si>
    <t>https://www.merago.ai/scribe</t>
  </si>
  <si>
    <t>India-relevant multilingual scribe; DPDPA compliance claim.</t>
  </si>
  <si>
    <t>Company / digital health platform</t>
  </si>
  <si>
    <t>Public adoption numbers not found.</t>
  </si>
  <si>
    <t>Likely web/app clinical scribe workflow; integration-ready per website.</t>
  </si>
  <si>
    <t>Ambient-style multi-language clinical scribe.</t>
  </si>
  <si>
    <t>Claims multi-language support in one conversation, implying mixed/multi-speaker encounter support; diarisation not public.</t>
  </si>
  <si>
    <t>SOAP/clinical notes; integration-ready; discrete FHIR/EMR depth requires confirmation.</t>
  </si>
  <si>
    <t>Explicitly supports Arabic, Bengali, English, Hindi, Kannada, Tamil, Telugu, and mixed-language speech.</t>
  </si>
  <si>
    <t>Vendor claims DPDPA compliance; no independent clinical/language validation located.</t>
  </si>
  <si>
    <t>Malayalam is not listed in retrieved source; validate data processing location, retention, and EMR integration claims.</t>
  </si>
  <si>
    <t>KiraDoc</t>
  </si>
  <si>
    <t>https://kiradoc.in/</t>
  </si>
  <si>
    <t>India-specific multilingual OPD dictation and AI scribe product.</t>
  </si>
  <si>
    <t>Multilingual AI medical scribe + OPD dictation</t>
  </si>
  <si>
    <t>Website claims model trained on 10,000+ hours of Indian speech across 22 official languages; public customer count not found.</t>
  </si>
  <si>
    <t>Runs a five-stage audio-to-SOAP pipeline, described as running on a GPU server.</t>
  </si>
  <si>
    <t>Both ambient/audio-to-SOAP and OPD dictation.</t>
  </si>
  <si>
    <t>Likely conversation/audio capture; explicit multi-speaker diarisation evidence not found.</t>
  </si>
  <si>
    <t>Audio to SOAP notes in seconds; discrete data depth and EMR/FHIR writeback require confirmation.</t>
  </si>
  <si>
    <t>Explicit list includes Hindi, Tamil, Telugu, Bengali, Kannada, Malayalam and many others.</t>
  </si>
  <si>
    <t>Training-data claim is public; no independent peer-reviewed or hospital validation located.</t>
  </si>
  <si>
    <t>Confirm medical-domain training data governance, whether 10,000+ hours are medical or general Indian speech, and language-specific WER in noisy OPDs.</t>
  </si>
  <si>
    <t>HealthOrbit AI Ambient AI Scribe</t>
  </si>
  <si>
    <t>https://healthorbit.ai/ambient-ai-scribe/</t>
  </si>
  <si>
    <t>India relevance not explicit from retrieved page, but product is marketed online and includes multilingual clinical interpreter features.</t>
  </si>
  <si>
    <t>Ambient AI scribe + interpreter + coding/billing</t>
  </si>
  <si>
    <t>Company</t>
  </si>
  <si>
    <t>Public customer/adoption numbers not found in retrieved page.</t>
  </si>
  <si>
    <t>Web/EHR workflow; captures visits, auto-drafts notes/codes, review-and-sign in EHR workflow.</t>
  </si>
  <si>
    <t>Ambient encounter capture.</t>
  </si>
  <si>
    <t>Likely multi-voice because it captures visits and shows doctor-patient exchange; diarisation not public.</t>
  </si>
  <si>
    <t>Clinical notes, coding and billing suggestions, review-and-sign inside EHR workflow.</t>
  </si>
  <si>
    <t>Claims multilingual capabilities, but exact Indian languages not itemised publicly in retrieved source.</t>
  </si>
  <si>
    <t>Not publicly itemised</t>
  </si>
  <si>
    <t>No independent validation located.</t>
  </si>
  <si>
    <t>Medium-low for India-specific fit; high for product existence.</t>
  </si>
  <si>
    <t>Clarify India deployment, language list, DPDPA compliance, Indian data residency, and validation in Indian clinical environments.</t>
  </si>
  <si>
    <t>QModify AI Medical Scribe</t>
  </si>
  <si>
    <t>https://www.qmodify.com/ai-medical-scribe-india ; https://www.qmodify.com/post/how-aimedicalscribeindia-auto-scribe-works-from-voice-to-validated-emr</t>
  </si>
  <si>
    <t>Explicitly marketed as AI medical scribe for doctors in India.</t>
  </si>
  <si>
    <t>AI medical scribe + voice-to-validated EMR</t>
  </si>
  <si>
    <t>Company / clinic software provider</t>
  </si>
  <si>
    <t>App/web product; QModify site includes download app, pricing and clinic queue/HMIS products.</t>
  </si>
  <si>
    <t>Ambient-style doctor-patient conversation to prescription/SOAP/EMR; also voice-to-Rx positioning.</t>
  </si>
  <si>
    <t>Likely multi-voice, because it converts doctor-patient conversations; public diarisation not found.</t>
  </si>
  <si>
    <t>Prescriptions, SOAP notes and clinical documentation; blog frames voice-to-validated EMR.</t>
  </si>
  <si>
    <t>Claims multi-dialect/accent recognition including Hinglish and Malayalam; broader language matrix not fully public in retrieved source.</t>
  </si>
  <si>
    <t>Yes; Hinglish</t>
  </si>
  <si>
    <t>Not public</t>
  </si>
  <si>
    <t>Medium-low</t>
  </si>
  <si>
    <t>Need exact language list including Bangla/Tamil/Kannada/Telugu; validate whether 'validated EMR' means clinician review or interoperability validation.</t>
  </si>
  <si>
    <t>https://www.qmodify.com/ai-medical-scribe-india | https://www.qmodify.com/post/how-aimedicalscribeindia-auto-scribe-works-from-voice-to-validated-emr</t>
  </si>
  <si>
    <t>CurePilot.ai / CureNearMe</t>
  </si>
  <si>
    <t>https://curenearme.com/products/ai-clinical-scribe-india</t>
  </si>
  <si>
    <t>Explicitly called India's AI clinical scribe for doctors.</t>
  </si>
  <si>
    <t>AI clinical scribe</t>
  </si>
  <si>
    <t>Company / health-tech platform</t>
  </si>
  <si>
    <t>Likely web/app workflow; listens to consultation and writes EMR.</t>
  </si>
  <si>
    <t>Ambient consultation capture.</t>
  </si>
  <si>
    <t>Likely multi-voice, because it listens to doctor-patient consultations; diarisation details not public.</t>
  </si>
  <si>
    <t>Structured EMR, clinical notes; exact standards support needs confirmation.</t>
  </si>
  <si>
    <t>Claims Hindi, Gujarati, Tamil, Marathi, Telugu and 10+ more Indian languages.</t>
  </si>
  <si>
    <t>Not public in retrieved source</t>
  </si>
  <si>
    <t>Needs full language matrix; Bangla/Kannada/Malayalam not confirmed from retrieved source; validate India data-residency and clinical safety process.</t>
  </si>
  <si>
    <t>VoxDox</t>
  </si>
  <si>
    <t>https://voxdox.co.in/</t>
  </si>
  <si>
    <t>Noida-based voice-to-prescription product for Indian doctors.</t>
  </si>
  <si>
    <t>Voice-to-prescription / clinical documentation</t>
  </si>
  <si>
    <t>Likely web/app voice-to-prescription workflow.</t>
  </si>
  <si>
    <t>Primarily voice-to-prescription/dictation; ambient capability not established from retrieved source.</t>
  </si>
  <si>
    <t>Likely single-speaker clinician dictation unless product demo confirms doctor-patient conversation capture.</t>
  </si>
  <si>
    <t>Prescription generation; structured output depth not public.</t>
  </si>
  <si>
    <t>Language support not publicly itemised in retrieved source.</t>
  </si>
  <si>
    <t>Low-medium</t>
  </si>
  <si>
    <t>Requires demo and technical documentation to establish language support, multi-speaker ability, and EMR integration.</t>
  </si>
  <si>
    <t>DoctorsApp Voice-to-Rx</t>
  </si>
  <si>
    <t>https://www.doctorsapp.in/blog/best-ai-voice-to-rx-software-for-doctors-in-india</t>
  </si>
  <si>
    <t>India-focused EMR/HMIS and AI voice-to-prescription offering for clinics and hospitals.</t>
  </si>
  <si>
    <t>Voice-to-prescription + EMR software</t>
  </si>
  <si>
    <t>Blog/product marketing; public hard deployment numbers not found.</t>
  </si>
  <si>
    <t>EMR/HMIS software with voice-to-Rx workflow.</t>
  </si>
  <si>
    <t>Primarily voice-to-prescription/dictation; ambient capture not established.</t>
  </si>
  <si>
    <t>Likely single-speaker clinician dictation.</t>
  </si>
  <si>
    <t>Digital prescriptions and EMR records using AI.</t>
  </si>
  <si>
    <t>Indian-language specifics not found in retrieved result.</t>
  </si>
  <si>
    <t>Obtain demo, exact ASR engine, language matrix, and whether outputs are discrete coded fields or formatted free text.</t>
  </si>
  <si>
    <t>Adrine</t>
  </si>
  <si>
    <t>https://www.adrine.in/blog/ai-in-healthcare-india</t>
  </si>
  <si>
    <t>India hospital management software with AI voice scribe claim.</t>
  </si>
  <si>
    <t>AI-enabled hospital management software + voice scribe</t>
  </si>
  <si>
    <t>Company / HMIS provider</t>
  </si>
  <si>
    <t>Public adoption numbers not found in retrieved source.</t>
  </si>
  <si>
    <t>HMIS product with AI voice scribe inside hospital software.</t>
  </si>
  <si>
    <t>Primarily voice-to-prescription/clinical documentation inside HMIS; ambient not established.</t>
  </si>
  <si>
    <t>Likely single-speaker unless demo confirms encounter capture.</t>
  </si>
  <si>
    <t>Voice-to-prescription, automated SOAP notes, summaries, ICD-10 suggestions.</t>
  </si>
  <si>
    <t>Claims voice-to-prescription in 10+ Indian languages.</t>
  </si>
  <si>
    <t>Likely</t>
  </si>
  <si>
    <t>Need exact languages, performance, and whether ICD-10 suggestions are validated.</t>
  </si>
  <si>
    <t>VivaLyn Labs</t>
  </si>
  <si>
    <t>https://www.vivalynlabs.com/blog/best-ai-medical-scribe-software-india</t>
  </si>
  <si>
    <t>India-targeted AI medical scribe software pages across Indian cities.</t>
  </si>
  <si>
    <t>AI medical scribe software</t>
  </si>
  <si>
    <t>Likely web/app product; city landing pages for hospitals and clinics.</t>
  </si>
  <si>
    <t>Marketed as AI medical scribe; exact ambient vs dictation capability requires demo.</t>
  </si>
  <si>
    <t>Unclear from public search snippets.</t>
  </si>
  <si>
    <t>Clinical documentation; exact discrete data capability not public in retrieved source.</t>
  </si>
  <si>
    <t>Indian-language claims appear in city pages, including Malayalam-specific pages, but exact matrix requires confirmation.</t>
  </si>
  <si>
    <t>Request product demo and exact language/accuracy documentation; blog pages include competitor commentary and may be marketing-heavy.</t>
  </si>
  <si>
    <t>https://www.vivalynlabs.com/blog/best-ai-medical-scribe-software-india | https://www.vivalynlabs.com/ai-medical-scribe-india-kochi | https://www.vivalynlabs.com/ai-medical-scribe-india-thiruvananthapuram</t>
  </si>
  <si>
    <t>ScribeMedics</t>
  </si>
  <si>
    <t>https://scribemedics.org/</t>
  </si>
  <si>
    <t>India relevance not explicit; hybrid AI plus human scribe model may be relevant to Indian outsourcing/remote scribe context.</t>
  </si>
  <si>
    <t>Hybrid AI medical scribe + human-in-the-loop documentation</t>
  </si>
  <si>
    <t>Company / scribing service</t>
  </si>
  <si>
    <t>AI-generated first draft reviewed/corrected by remote medical scribes.</t>
  </si>
  <si>
    <t>Not pure ambient product; hybrid AI + remote scribe service.</t>
  </si>
  <si>
    <t>Depends on workflow; likely encounter documentation reviewed by humans, not purely automated multi-voice system.</t>
  </si>
  <si>
    <t>Clinical documentation refined by humans; discrete data capability unclear.</t>
  </si>
  <si>
    <t>Indian-language support not publicly itemised in retrieved source.</t>
  </si>
  <si>
    <t>Human-in-loop quality control claimed; no independent validation located.</t>
  </si>
  <si>
    <t>Clarify India operations, HIPAA/DPDPA alignment, whether India languages are supported, and whether data leaves India.</t>
  </si>
  <si>
    <t>PenBOT</t>
  </si>
  <si>
    <t>https://indiaai.gov.in/case-study/penbot-ai-scribe-for-efficient-transcription-in-medical-settings</t>
  </si>
  <si>
    <t>Indian National AI Portal case study; appears more academic/prototype/case-study oriented than commercial SaaS.</t>
  </si>
  <si>
    <t>AI scribe / medical transcription prototype</t>
  </si>
  <si>
    <t>Academic / research case study / possibly product prototype</t>
  </si>
  <si>
    <t>Case study describes development and implementation; public commercial outreach not clear.</t>
  </si>
  <si>
    <t>Speech recognition + machine learning + NLP transcription workflow.</t>
  </si>
  <si>
    <t>Medical transcription AI scribe; ambient conversation capability not clearly established.</t>
  </si>
  <si>
    <t>Unclear; likely transcription-focused rather than robust multi-speaker ambient capture unless implemented otherwise.</t>
  </si>
  <si>
    <t>Extracts diagnoses, prescriptions, symptoms, follow-up instructions per related book/source; customizable formats.</t>
  </si>
  <si>
    <t>Indian-language support not clearly itemised in retrieved IndiaAI case study.</t>
  </si>
  <si>
    <t>IndiaAI case-study level evidence; no peer-reviewed clinical validation found in quick scan.</t>
  </si>
  <si>
    <t>Medium for existence; low for language/validation.</t>
  </si>
  <si>
    <t>Need developer/owner identity, deployment sites, language matrix, and validation results before treating as a market-ready vendor.</t>
  </si>
  <si>
    <t>https://indiaai.gov.in/case-study/penbot-ai-scribe-for-efficient-transcription-in-medical-settings | https://www.elivabooks.com/en/book/book-8004323097</t>
  </si>
  <si>
    <t>ScribeMed</t>
  </si>
  <si>
    <t>https://scribemed-web.vercel.app/</t>
  </si>
  <si>
    <t>India-facing AI scribe claiming 500+ doctors across India.</t>
  </si>
  <si>
    <t>Startup / web product</t>
  </si>
  <si>
    <t>Claims 500+ doctors across India.</t>
  </si>
  <si>
    <t>Web product; start-free workflow.</t>
  </si>
  <si>
    <t>AI medical scribe; ambient vs dictation not fully clear from retrieved source.</t>
  </si>
  <si>
    <t>Unclear; needs demo.</t>
  </si>
  <si>
    <t>Clinical documentation; discrete data not public.</t>
  </si>
  <si>
    <t>Vercel-hosted public site needs extra diligence on company identity, security, DPDPA compliance, and production readiness.</t>
  </si>
  <si>
    <t>Source</t>
  </si>
  <si>
    <t>URL</t>
  </si>
  <si>
    <t>Use in workbook</t>
  </si>
  <si>
    <t>Augnito homepage</t>
  </si>
  <si>
    <t>https://augnito.ai/</t>
  </si>
  <si>
    <t>Medical speech recognition, 50+ specialties, EMR dictation</t>
  </si>
  <si>
    <t>Augnito about</t>
  </si>
  <si>
    <t>https://augnito.ai/about-us</t>
  </si>
  <si>
    <t>450+ hospitals claim</t>
  </si>
  <si>
    <t>IndiaAI Augnito article</t>
  </si>
  <si>
    <t>https://indiaai.gov.in/article/augnito-leveraging-voice-ai-to-transform-healthcare</t>
  </si>
  <si>
    <t>Ambient clinical intelligence pilots, structured EMR-ready data</t>
  </si>
  <si>
    <t>Augnito Play Store</t>
  </si>
  <si>
    <t>https://play.google.com/store/apps/details?id=com.scribetech.augnitoappprod</t>
  </si>
  <si>
    <t>Mobile mic/app mode</t>
  </si>
  <si>
    <t>Augnito Chrome Web Store</t>
  </si>
  <si>
    <t>https://chromewebstore.google.com/detail/augnito/loedohmkociaomkgggggnoogiahfinme</t>
  </si>
  <si>
    <t>Chrome plugin and reporting workflow</t>
  </si>
  <si>
    <t>Medoriax</t>
  </si>
  <si>
    <t>India-first multilingual AI medical scribe and supported languages</t>
  </si>
  <si>
    <t>RxNote AI Scribe</t>
  </si>
  <si>
    <t>https://rxnote.ai/features/ai-scribe</t>
  </si>
  <si>
    <t>India scribe, languages, SOAP notes, accuracy claim</t>
  </si>
  <si>
    <t>RxNote workflow</t>
  </si>
  <si>
    <t>https://rxnote.ai/features/how-it-works</t>
  </si>
  <si>
    <t>Speak in Tamil/Hindi/Telugu/Hinglish and generate notes</t>
  </si>
  <si>
    <t>RxNote LinkedIn</t>
  </si>
  <si>
    <t>https://www.linkedin.com/posts/rxnote_rxnote-ai-medical-scribe-for-indian-doctors-activity-7412783258926485504-WHcV</t>
  </si>
  <si>
    <t>Additional languages including Malayalam/Kannada/Bengali</t>
  </si>
  <si>
    <t>EkaScribe</t>
  </si>
  <si>
    <t>Voice-to-prescription, clinical notes, 20+ languages, Chrome extension</t>
  </si>
  <si>
    <t>Explicit Bengali/Hindi/Kannada/Tamil/Telugu and mixed-language support</t>
  </si>
  <si>
    <t>22 official languages, 10,000+ hours Indian speech, Hindi/Bengali/Tamil/Kannada/Telugu/Malayalam</t>
  </si>
  <si>
    <t>HealthOrbit AI</t>
  </si>
  <si>
    <t>Ambient AI scribe, multilingual capability, coding</t>
  </si>
  <si>
    <t>QModify</t>
  </si>
  <si>
    <t>https://www.qmodify.com/ai-medical-scribe-india</t>
  </si>
  <si>
    <t>India AI medical scribe</t>
  </si>
  <si>
    <t>QModify blog</t>
  </si>
  <si>
    <t>https://www.qmodify.com/post/how-aimedicalscribeindia-auto-scribe-works-from-voice-to-validated-emr</t>
  </si>
  <si>
    <t>Hinglish/Malayalam/accent recognition claim</t>
  </si>
  <si>
    <t>CurePilot</t>
  </si>
  <si>
    <t>Hindi/Gujarati/Tamil/Marathi/Telugu and 10+ languages</t>
  </si>
  <si>
    <t>Noida voice-to-prescription product</t>
  </si>
  <si>
    <t>DoctorsApp</t>
  </si>
  <si>
    <t>India voice-to-Rx/EMR product positioning</t>
  </si>
  <si>
    <t>AI voice scribe in HMIS, 10+ Indian languages</t>
  </si>
  <si>
    <t>India medical scribe market positioning</t>
  </si>
  <si>
    <t>Hybrid AI + human medical scribe model</t>
  </si>
  <si>
    <t>PenBOT IndiaAI</t>
  </si>
  <si>
    <t>AI scribe/transcription case study</t>
  </si>
  <si>
    <t>500+ doctors claim</t>
  </si>
  <si>
    <t>SPRING-INX IIT Madras</t>
  </si>
  <si>
    <t>https://arxiv.org/abs/2310.14654</t>
  </si>
  <si>
    <t>Background: Indian speech corpus includes Bengali/Hindi/Kannada/Malayalam/Tamil</t>
  </si>
  <si>
    <t>Vakyansh</t>
  </si>
  <si>
    <t>https://arxiv.org/abs/2203.16512</t>
  </si>
  <si>
    <t>Background: Indic ASR toolkit and language resource context</t>
  </si>
  <si>
    <t>India ambient scribe and voice-to-discrete-data landscape scan</t>
  </si>
  <si>
    <t>Prepared</t>
  </si>
  <si>
    <t>2026-05-31</t>
  </si>
  <si>
    <t>Scope</t>
  </si>
  <si>
    <t>India-facing or India-relevant tools for ambient clinical documentation, voice-to-prescription, medical dictation, and voice-to-structured EMR/discrete data.</t>
  </si>
  <si>
    <t>Interpretation note</t>
  </si>
  <si>
    <t>The sheet distinguishes true ambient encounter capture from single-speaker dictation/voice-to-prescription. Many products use 'AI scribe' as marketing language even when the public evidence only supports clinician dictation.</t>
  </si>
  <si>
    <t>Validation note</t>
  </si>
  <si>
    <t>Publicly available, independent clinical validation for Indian-language ambient scribing was generally not found. Vendor accuracy claims are recorded separately from independent validation.</t>
  </si>
  <si>
    <t>Language note</t>
  </si>
  <si>
    <t>A 'Yes' under a language means the public source explicitly supports it or, for English, it is inherent in the product output/website claims. 'Likely' means broad language claims without exact visible list. 'Not public' means no reliable public evidence found in this scan.</t>
  </si>
  <si>
    <t>Metric</t>
  </si>
  <si>
    <t>Count / Note</t>
  </si>
  <si>
    <t>Total players mapped</t>
  </si>
  <si>
    <t>True ambient or ambient-style capture</t>
  </si>
  <si>
    <t>Explicit Hindi/Hinglish support</t>
  </si>
  <si>
    <t>Explicit Bengali/Bangla support</t>
  </si>
  <si>
    <t>Explicit Tamil support</t>
  </si>
  <si>
    <t>Explicit Kannada support</t>
  </si>
  <si>
    <t>Explicit Telugu support</t>
  </si>
  <si>
    <t>Explicit Malayalam support</t>
  </si>
  <si>
    <t>Key procurement caution</t>
  </si>
  <si>
    <t>Independent validation in noisy Indian OPD environments is rarely public; require site pilots and language-specific metrics.</t>
  </si>
  <si>
    <t>Cost per user / non-subscription cost</t>
  </si>
  <si>
    <t>Public list price not found. Vendor offers personalised/custom quotes; Spectra has a 7-day free trial and no implementation/training fees stated publicly.</t>
  </si>
  <si>
    <t>Public per-user price not found. Website offers trials/pricing enquiry; treat as contact-sales pending verification.</t>
  </si>
  <si>
    <t>Public per-user price not found. Free trial/sign-up visible; claims lower-cost AI staff but no tariff disclosed.</t>
  </si>
  <si>
    <t>Free plan: 5 consultations/day. Pro plan: unlimited consultations, but public page did not disclose the Pro price.</t>
  </si>
  <si>
    <t>Public per-user price not found. Pricing likely contact-sales/demo.</t>
  </si>
  <si>
    <t>Public per-user price not found. Early access open; pricing link present but no price captured publicly.</t>
  </si>
  <si>
    <t>Free registration/free AI scribe claims appear publicly; detailed paid-plan pricing not publicly itemised.</t>
  </si>
  <si>
    <t>₹1,499/month with 300 Auto Scribe minutes; ₹2,299/month with 500 minutes; ₹3,999/month with 1,000 minutes. Basic ₹999/month has no Auto Scribe.</t>
  </si>
  <si>
    <t>Public per-user price not found. Product page markets AI clinical scribe for India; pricing requires enquiry.</t>
  </si>
  <si>
    <t>Public per-user price not found.</t>
  </si>
  <si>
    <t>Public per-user Voice-to-Rx price not found; likely bundled with EMR/HMIS subscription, requiring vendor quote.</t>
  </si>
  <si>
    <t>Public per-user voice-scribe price not found; likely bundled with HMIS subscription, requiring vendor quote.</t>
  </si>
  <si>
    <t>Public India pricing references vary by page: MedScribe page says starting at ₹2,999/month; blog states India AI scribe ranges around ₹699/month per doctor for hospital plans to ₹1,499/month for solo practitioners. Verify live quote.</t>
  </si>
  <si>
    <t>Public per-user price not found. Hybrid AI + human scribe service likely quote-based.</t>
  </si>
  <si>
    <t>No commercial pricing found; appears as an IndiaAI case study/prototype rather than a clearly priced product.</t>
  </si>
  <si>
    <t>Fosterhealth.ai</t>
  </si>
  <si>
    <t>https://fosterhealth.ai/ ; https://fosterhealth.ai/blogs/indian-healthcare-ecosystem-a-breeding-ground-for-ai-innovation</t>
  </si>
  <si>
    <t>Try-for-free visible; public per-user/subscription price not found. Treat as contact-sales pending verification.</t>
  </si>
  <si>
    <t>India relevance suggested through India-focused healthcare AI blog and product positioning; commercial entity appears Foster AI Inc.</t>
  </si>
  <si>
    <t>Company / AI medical documentation startup</t>
  </si>
  <si>
    <t>Website promotes try-for-free and demo routes; public adoption count not found.</t>
  </si>
  <si>
    <t>Web-based AI medical scribe; generates transcript and clinical notes after the session.</t>
  </si>
  <si>
    <t>Ambient-style medical scribe.</t>
  </si>
  <si>
    <t>Likely multi-voice because it transcribes patient conversations; public diarisation/overlap evidence not found.</t>
  </si>
  <si>
    <t>Transcript and clinical notes; exact discrete EMR/FHIR write-back depth not public.</t>
  </si>
  <si>
    <t>No independent clinical validation found publicly in this scan.</t>
  </si>
  <si>
    <t>Medium for product existence; low for Indian-language and discrete-data depth.</t>
  </si>
  <si>
    <t>Confirm pricing, data residency/DPDPA posture, EMR integration, Indian-language performance, and multi-speaker handling in noisy OPDs.</t>
  </si>
  <si>
    <t>https://fosterhealth.ai/ | https://fosterhealth.ai/blogs/indian-healthcare-ecosystem-a-breeding-ground-for-ai-innovation</t>
  </si>
  <si>
    <t>Probeplus.in</t>
  </si>
  <si>
    <t>https://www.probeplus.in/</t>
  </si>
  <si>
    <t>Public site positions ProbePlus as an AI-powered healthcare coding/documentation automation company; India relevance through Bengaluru/India company signals requires direct vendor confirmation.</t>
  </si>
  <si>
    <t>Public per-user price not found; pricing likely custom/contact-sales.</t>
  </si>
  <si>
    <t>AI medical coding / clinical documentation automation</t>
  </si>
  <si>
    <t>Company / healthcare AI services-product firm</t>
  </si>
  <si>
    <t>AI-powered coding system that extracts and assigns medical codes from clinical documentation; not clearly an ambient scribe.</t>
  </si>
  <si>
    <t>Not clearly ambient; closer to documentation-to-coding / voice-to-discrete-data adjacent workflow.</t>
  </si>
  <si>
    <t>Unclear; likely works on clinical documentation rather than live multi-speaker encounter audio unless demo confirms.</t>
  </si>
  <si>
    <t>Medical code extraction/assignment; discrete coding output likely stronger than scribe-style narrative output.</t>
  </si>
  <si>
    <t>Indian-language support not publicly itemised.</t>
  </si>
  <si>
    <t>Unclear</t>
  </si>
  <si>
    <t>Medium for coding product existence; low for ambient/V2DD encounter capture.</t>
  </si>
  <si>
    <t>Clarify whether product ingests audio, transcript, or documentation; validate coding standards, auditability, integration, pricing and Indian deployment references.</t>
  </si>
  <si>
    <t>Suki AI</t>
  </si>
  <si>
    <t>https://www.suki.ai/ ; https://www.suki.ai/clinicians/ ; https://www.fiercehealthcare.com/ai-and-machine-learning/suki-brings-ai-scribes-community-health-centers-limited-cash-flow</t>
  </si>
  <si>
    <t>US-origin ambient clinical intelligence platform; relevant as mature benchmark product rather than India-specific solution.</t>
  </si>
  <si>
    <t>$399/provider/month list price reported in 2024 coverage; third-party 2026 comparisons report Suki Compose around $299/month and Suki Assistant around $399/month. Official site is contact-sales; verify quote.</t>
  </si>
  <si>
    <t>Ambient clinical intelligence + AI medical assistant</t>
  </si>
  <si>
    <t>Company / established healthcare AI company</t>
  </si>
  <si>
    <t>Clinician page states EHR integration across 100+ systems; public community health center deployment coverage exists.</t>
  </si>
  <si>
    <t>Ambient encounter capture, dictation, coding, clinical Q&amp;A, voice-enabled pre-charting and EHR-integrated workflows.</t>
  </si>
  <si>
    <t>Both ambient AI scribe and voice assistant/dictation-style workflows.</t>
  </si>
  <si>
    <t>Designed for encounter capture; multiple ambient sessions for same patient are described. Multi-speaker diarisation specifics require vendor validation.</t>
  </si>
  <si>
    <t>Notes, ICD-10, HCC, CPT and E/M code support, clinical Q&amp;A, EHR-integrated documentation.</t>
  </si>
  <si>
    <t>Not India-specific; Indian language support not publicly itemised.</t>
  </si>
  <si>
    <t>Some public deployment/market evidence; independent India-specific validation not found.</t>
  </si>
  <si>
    <t>High for product maturity; low for Indian-language/India deployment fit.</t>
  </si>
  <si>
    <t>Confirm HIPAA/BAA versus DPDPA alignment, India data residency, Indian accents/languages, EHR integration feasibility and total enterprise price.</t>
  </si>
  <si>
    <t>https://www.suki.ai/ | https://www.suki.ai/clinicians/ | https://www.fiercehealthcare.com/ai-and-machine-learning/suki-brings-ai-scribes-community-health-centers-limited-cash-flow | https://www.deepcura.com/resources/compare/suki</t>
  </si>
  <si>
    <t>Fireflies.ai</t>
  </si>
  <si>
    <t>https://fireflies.ai/pricing ; https://guide.fireflies.ai/articles/3734844560-learn-about-the-fireflies-pricing-plans ; https://guide.fireflies.ai/articles/2114151875-learn-about-ai-credits</t>
  </si>
  <si>
    <t>General meeting transcription/summarisation product, not healthcare-specific; relevant as low-cost ambient transcription benchmark, not as clinical V2DD tool.</t>
  </si>
  <si>
    <t>Free; Pro $10/user/month billed annually or $18 monthly; Business $19/user/month billed annually or $29 monthly; Enterprise $39/user/month billed annually. Additional AI credits can auto-upgrade from $5/50 credits.</t>
  </si>
  <si>
    <t>Meeting transcription + AI notes</t>
  </si>
  <si>
    <t>Company / productivity AI platform</t>
  </si>
  <si>
    <t>Widely marketed SaaS meeting assistant; no clinical adoption evidence found in this scan.</t>
  </si>
  <si>
    <t>Meeting bot/mobile/desktop/Chrome workflow; records, transcribes and summarises meetings.</t>
  </si>
  <si>
    <t>Ambient meeting capture, but not a clinical ambient scribe.</t>
  </si>
  <si>
    <t>Multi-speaker meeting transcription likely supported; clinical diarisation and medical conversation accuracy not validated publicly for India.</t>
  </si>
  <si>
    <t>Transcripts, summaries, action items, API/CRM integrations; no clinical discrete-data/EMR output by default.</t>
  </si>
  <si>
    <t>General language support exists but Indian clinical language performance not itemised in retrieved pricing/source pages.</t>
  </si>
  <si>
    <t>Not public for clinical use</t>
  </si>
  <si>
    <t>No healthcare-specific validation found publicly in this scan.</t>
  </si>
  <si>
    <t>High for general transcription pricing; low for clinical/V2DD suitability.</t>
  </si>
  <si>
    <t>Not a medical device or clinical scribe by default; assess PHI/BAA/HIPAA/DPDPA, data retention, consent, medical vocabulary and enterprise controls before clinical use.</t>
  </si>
  <si>
    <t>https://fireflies.ai/pricing | https://guide.fireflies.ai/articles/3734844560-learn-about-the-fireflies-pricing-plans | https://guide.fireflies.ai/articles/2114151875-learn-about-ai-credits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</si>
</sst>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74B70-FE22-2248-B60C-E597914F98CF}" name="LandscapeTable4" displayName="LandscapeTable4" ref="A1:V17">
  <tableColumns count="22">
    <tableColumn id="1" xr3:uid="{C2E1C94B-F7A8-FE4B-818E-1CA0C6F8484D}" name="Player"/>
    <tableColumn id="2" xr3:uid="{BA08AC03-0B98-F74A-9CC4-6F52D38053EE}" name="Website / Source"/>
    <tableColumn id="3" xr3:uid="{AE7B8895-CB28-974A-AEA8-1C2E2AF05060}" name="India relevance"/>
    <tableColumn id="4" xr3:uid="{5C320693-56F7-4343-96C3-581A9099F847}" name="Category"/>
    <tableColumn id="5" xr3:uid="{9FEE1369-CC23-9A44-88E2-F88677E4F943}" name="Organisation type"/>
    <tableColumn id="6" xr3:uid="{88706816-405E-D340-BF6D-38000B9A8189}" name="Outreach / adoption signals"/>
    <tableColumn id="7" xr3:uid="{2E96DEDA-068A-0B46-B932-420F760EADE8}" name="Mode"/>
    <tableColumn id="8" xr3:uid="{9A09CC48-4771-804A-B655-F2AF67ECDACD}" name="Ambient vs dictation classification"/>
    <tableColumn id="9" xr3:uid="{C22F98E2-B6A1-3A48-ABD2-A81D681705F5}" name="Multi-voice / single-speaker assessment"/>
    <tableColumn id="10" xr3:uid="{1BAAA93E-6F49-2748-8EF8-C8119F207832}" name="Output / discrete-data capability"/>
    <tableColumn id="11" xr3:uid="{AAD7F558-25CA-E54B-A6FE-ED1EE028933C}" name="Indian language support - overall"/>
    <tableColumn id="12" xr3:uid="{038257AC-CD74-D545-AF1E-AACCF6B3EFDC}" name="English"/>
    <tableColumn id="13" xr3:uid="{FDB2E167-C83B-0A43-ACED-0BD914C563F7}" name="Hindi / Hinglish"/>
    <tableColumn id="14" xr3:uid="{FB91A5BF-D34A-DB40-9410-A4743A68B7E8}" name="Bangla / Bengali"/>
    <tableColumn id="15" xr3:uid="{0C458176-E843-8147-8B32-30D9528E708F}" name="Tamil"/>
    <tableColumn id="16" xr3:uid="{6DC5F459-1075-6D4C-8F7F-E7168B6A2555}" name="Kannada"/>
    <tableColumn id="17" xr3:uid="{A07E166B-6956-D444-A548-FD63A1C3803D}" name="Telugu"/>
    <tableColumn id="18" xr3:uid="{74437A08-B59E-F94C-93A3-214DD4E331B2}" name="Malayalam"/>
    <tableColumn id="19" xr3:uid="{A094B2F8-D524-894C-91E1-7F6143791914}" name="Validation evidence found publicly"/>
    <tableColumn id="20" xr3:uid="{C3F4886A-EEC7-AF41-B066-8A80E6C73DF0}" name="Evidence confidence"/>
    <tableColumn id="21" xr3:uid="{8F43BF09-0967-1342-9013-B766B23E886E}" name="Key limitations / due diligence questions"/>
    <tableColumn id="22" xr3:uid="{3F4AA03C-31EC-814B-89BD-96D2B408D849}" name="Primary source UR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C26">
  <tableColumns count="3">
    <tableColumn id="1" xr3:uid="{00000000-0010-0000-0100-000001000000}" name="Source"/>
    <tableColumn id="2" xr3:uid="{00000000-0010-0000-0100-000002000000}" name="URL"/>
    <tableColumn id="3" xr3:uid="{00000000-0010-0000-0100-000003000000}" name="Use in workbo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"/>
  <sheetViews>
    <sheetView tabSelected="1" topLeftCell="C12" zoomScale="110" zoomScaleNormal="110" workbookViewId="0">
      <selection activeCell="D5" sqref="D5"/>
    </sheetView>
  </sheetViews>
  <sheetFormatPr baseColWidth="10" defaultColWidth="8.83203125" defaultRowHeight="14"/>
  <cols>
    <col min="1" max="1" width="24" customWidth="1"/>
    <col min="2" max="2" width="34" hidden="1" customWidth="1"/>
    <col min="3" max="3" width="38" customWidth="1"/>
    <col min="4" max="4" width="32" customWidth="1"/>
    <col min="5" max="6" width="26" customWidth="1"/>
    <col min="7" max="7" width="34" customWidth="1"/>
    <col min="8" max="8" width="28" customWidth="1"/>
    <col min="9" max="11" width="34" customWidth="1"/>
    <col min="12" max="19" width="16" customWidth="1"/>
    <col min="20" max="20" width="34" customWidth="1"/>
    <col min="21" max="21" width="18" customWidth="1"/>
    <col min="22" max="22" width="38" customWidth="1"/>
    <col min="23" max="23" width="46" customWidth="1"/>
  </cols>
  <sheetData>
    <row r="1" spans="1:23" ht="53.25" customHeight="1">
      <c r="A1" s="4" t="s">
        <v>0</v>
      </c>
      <c r="B1" s="4" t="s">
        <v>1</v>
      </c>
      <c r="C1" s="4" t="s">
        <v>313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</row>
    <row r="2" spans="1:23" ht="106.75" customHeight="1">
      <c r="A2" s="6" t="s">
        <v>22</v>
      </c>
      <c r="B2" s="6" t="s">
        <v>23</v>
      </c>
      <c r="C2" s="6" t="s">
        <v>314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34</v>
      </c>
      <c r="P2" s="6" t="s">
        <v>34</v>
      </c>
      <c r="Q2" s="6" t="s">
        <v>34</v>
      </c>
      <c r="R2" s="6" t="s">
        <v>34</v>
      </c>
      <c r="S2" s="6" t="s">
        <v>34</v>
      </c>
      <c r="T2" s="6" t="s">
        <v>35</v>
      </c>
      <c r="U2" s="6" t="s">
        <v>36</v>
      </c>
      <c r="V2" s="6" t="s">
        <v>37</v>
      </c>
      <c r="W2" s="7" t="s">
        <v>38</v>
      </c>
    </row>
    <row r="3" spans="1:23" ht="106.75" customHeight="1">
      <c r="A3" s="6" t="s">
        <v>39</v>
      </c>
      <c r="B3" s="6" t="s">
        <v>40</v>
      </c>
      <c r="C3" s="6" t="s">
        <v>315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33</v>
      </c>
      <c r="N3" s="6" t="s">
        <v>50</v>
      </c>
      <c r="O3" s="6" t="s">
        <v>51</v>
      </c>
      <c r="P3" s="6" t="s">
        <v>33</v>
      </c>
      <c r="Q3" s="6" t="s">
        <v>33</v>
      </c>
      <c r="R3" s="6" t="s">
        <v>33</v>
      </c>
      <c r="S3" s="6" t="s">
        <v>52</v>
      </c>
      <c r="T3" s="6" t="s">
        <v>53</v>
      </c>
      <c r="U3" s="6" t="s">
        <v>54</v>
      </c>
      <c r="V3" s="6" t="s">
        <v>55</v>
      </c>
      <c r="W3" s="7" t="s">
        <v>40</v>
      </c>
    </row>
    <row r="4" spans="1:23" ht="106.75" customHeight="1">
      <c r="A4" s="6" t="s">
        <v>56</v>
      </c>
      <c r="B4" s="6" t="s">
        <v>57</v>
      </c>
      <c r="C4" s="6" t="s">
        <v>316</v>
      </c>
      <c r="D4" s="6" t="s">
        <v>58</v>
      </c>
      <c r="E4" s="6" t="s">
        <v>59</v>
      </c>
      <c r="F4" s="6" t="s">
        <v>43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65</v>
      </c>
      <c r="M4" s="6" t="s">
        <v>33</v>
      </c>
      <c r="N4" s="6" t="s">
        <v>50</v>
      </c>
      <c r="O4" s="6" t="s">
        <v>51</v>
      </c>
      <c r="P4" s="6" t="s">
        <v>33</v>
      </c>
      <c r="Q4" s="6" t="s">
        <v>33</v>
      </c>
      <c r="R4" s="6" t="s">
        <v>33</v>
      </c>
      <c r="S4" s="6" t="s">
        <v>33</v>
      </c>
      <c r="T4" s="6" t="s">
        <v>66</v>
      </c>
      <c r="U4" s="6" t="s">
        <v>54</v>
      </c>
      <c r="V4" s="6" t="s">
        <v>67</v>
      </c>
      <c r="W4" s="7" t="s">
        <v>68</v>
      </c>
    </row>
    <row r="5" spans="1:23" ht="106.75" customHeight="1">
      <c r="A5" s="6" t="s">
        <v>69</v>
      </c>
      <c r="B5" s="6" t="s">
        <v>70</v>
      </c>
      <c r="C5" s="6" t="s">
        <v>317</v>
      </c>
      <c r="D5" s="6" t="s">
        <v>71</v>
      </c>
      <c r="E5" s="6" t="s">
        <v>72</v>
      </c>
      <c r="F5" s="6" t="s">
        <v>73</v>
      </c>
      <c r="G5" s="6" t="s">
        <v>74</v>
      </c>
      <c r="H5" s="6" t="s">
        <v>75</v>
      </c>
      <c r="I5" s="6" t="s">
        <v>76</v>
      </c>
      <c r="J5" s="6" t="s">
        <v>77</v>
      </c>
      <c r="K5" s="6" t="s">
        <v>78</v>
      </c>
      <c r="L5" s="6" t="s">
        <v>79</v>
      </c>
      <c r="M5" s="6" t="s">
        <v>33</v>
      </c>
      <c r="N5" s="6" t="s">
        <v>80</v>
      </c>
      <c r="O5" s="6" t="s">
        <v>80</v>
      </c>
      <c r="P5" s="6" t="s">
        <v>80</v>
      </c>
      <c r="Q5" s="6" t="s">
        <v>80</v>
      </c>
      <c r="R5" s="6" t="s">
        <v>80</v>
      </c>
      <c r="S5" s="6" t="s">
        <v>80</v>
      </c>
      <c r="T5" s="6" t="s">
        <v>81</v>
      </c>
      <c r="U5" s="6" t="s">
        <v>54</v>
      </c>
      <c r="V5" s="6" t="s">
        <v>82</v>
      </c>
      <c r="W5" s="7" t="s">
        <v>70</v>
      </c>
    </row>
    <row r="6" spans="1:23" ht="106.75" customHeight="1">
      <c r="A6" s="6" t="s">
        <v>83</v>
      </c>
      <c r="B6" s="6" t="s">
        <v>84</v>
      </c>
      <c r="C6" s="6" t="s">
        <v>318</v>
      </c>
      <c r="D6" s="6" t="s">
        <v>85</v>
      </c>
      <c r="E6" s="6" t="s">
        <v>42</v>
      </c>
      <c r="F6" s="6" t="s">
        <v>86</v>
      </c>
      <c r="G6" s="6" t="s">
        <v>87</v>
      </c>
      <c r="H6" s="6" t="s">
        <v>88</v>
      </c>
      <c r="I6" s="6" t="s">
        <v>89</v>
      </c>
      <c r="J6" s="6" t="s">
        <v>90</v>
      </c>
      <c r="K6" s="6" t="s">
        <v>91</v>
      </c>
      <c r="L6" s="6" t="s">
        <v>92</v>
      </c>
      <c r="M6" s="6" t="s">
        <v>33</v>
      </c>
      <c r="N6" s="6" t="s">
        <v>33</v>
      </c>
      <c r="O6" s="6" t="s">
        <v>51</v>
      </c>
      <c r="P6" s="6" t="s">
        <v>33</v>
      </c>
      <c r="Q6" s="6" t="s">
        <v>33</v>
      </c>
      <c r="R6" s="6" t="s">
        <v>33</v>
      </c>
      <c r="S6" s="6" t="s">
        <v>52</v>
      </c>
      <c r="T6" s="6" t="s">
        <v>93</v>
      </c>
      <c r="U6" s="6" t="s">
        <v>54</v>
      </c>
      <c r="V6" s="6" t="s">
        <v>94</v>
      </c>
      <c r="W6" s="7" t="s">
        <v>84</v>
      </c>
    </row>
    <row r="7" spans="1:23" ht="106.75" customHeight="1">
      <c r="A7" s="6" t="s">
        <v>95</v>
      </c>
      <c r="B7" s="6" t="s">
        <v>96</v>
      </c>
      <c r="C7" s="6" t="s">
        <v>319</v>
      </c>
      <c r="D7" s="6" t="s">
        <v>97</v>
      </c>
      <c r="E7" s="6" t="s">
        <v>98</v>
      </c>
      <c r="F7" s="6" t="s">
        <v>43</v>
      </c>
      <c r="G7" s="6" t="s">
        <v>99</v>
      </c>
      <c r="H7" s="6" t="s">
        <v>100</v>
      </c>
      <c r="I7" s="6" t="s">
        <v>101</v>
      </c>
      <c r="J7" s="6" t="s">
        <v>102</v>
      </c>
      <c r="K7" s="6" t="s">
        <v>103</v>
      </c>
      <c r="L7" s="6" t="s">
        <v>104</v>
      </c>
      <c r="M7" s="6" t="s">
        <v>33</v>
      </c>
      <c r="N7" s="6" t="s">
        <v>33</v>
      </c>
      <c r="O7" s="6" t="s">
        <v>51</v>
      </c>
      <c r="P7" s="6" t="s">
        <v>33</v>
      </c>
      <c r="Q7" s="6" t="s">
        <v>33</v>
      </c>
      <c r="R7" s="6" t="s">
        <v>33</v>
      </c>
      <c r="S7" s="6" t="s">
        <v>33</v>
      </c>
      <c r="T7" s="6" t="s">
        <v>105</v>
      </c>
      <c r="U7" s="6" t="s">
        <v>54</v>
      </c>
      <c r="V7" s="6" t="s">
        <v>106</v>
      </c>
      <c r="W7" s="7" t="s">
        <v>96</v>
      </c>
    </row>
    <row r="8" spans="1:23" ht="106.75" customHeight="1">
      <c r="A8" s="6" t="s">
        <v>107</v>
      </c>
      <c r="B8" s="6" t="s">
        <v>108</v>
      </c>
      <c r="C8" s="6" t="s">
        <v>320</v>
      </c>
      <c r="D8" s="6" t="s">
        <v>109</v>
      </c>
      <c r="E8" s="6" t="s">
        <v>110</v>
      </c>
      <c r="F8" s="6" t="s">
        <v>111</v>
      </c>
      <c r="G8" s="6" t="s">
        <v>112</v>
      </c>
      <c r="H8" s="6" t="s">
        <v>113</v>
      </c>
      <c r="I8" s="6" t="s">
        <v>114</v>
      </c>
      <c r="J8" s="6" t="s">
        <v>115</v>
      </c>
      <c r="K8" s="6" t="s">
        <v>116</v>
      </c>
      <c r="L8" s="6" t="s">
        <v>117</v>
      </c>
      <c r="M8" s="6" t="s">
        <v>33</v>
      </c>
      <c r="N8" s="6" t="s">
        <v>118</v>
      </c>
      <c r="O8" s="6" t="s">
        <v>118</v>
      </c>
      <c r="P8" s="6" t="s">
        <v>118</v>
      </c>
      <c r="Q8" s="6" t="s">
        <v>118</v>
      </c>
      <c r="R8" s="6" t="s">
        <v>118</v>
      </c>
      <c r="S8" s="6" t="s">
        <v>118</v>
      </c>
      <c r="T8" s="6" t="s">
        <v>119</v>
      </c>
      <c r="U8" s="6" t="s">
        <v>120</v>
      </c>
      <c r="V8" s="6" t="s">
        <v>121</v>
      </c>
      <c r="W8" s="7" t="s">
        <v>108</v>
      </c>
    </row>
    <row r="9" spans="1:23" ht="106.75" customHeight="1">
      <c r="A9" s="6" t="s">
        <v>122</v>
      </c>
      <c r="B9" s="6" t="s">
        <v>123</v>
      </c>
      <c r="C9" s="6" t="s">
        <v>321</v>
      </c>
      <c r="D9" s="6" t="s">
        <v>124</v>
      </c>
      <c r="E9" s="6" t="s">
        <v>125</v>
      </c>
      <c r="F9" s="6" t="s">
        <v>126</v>
      </c>
      <c r="G9" s="6" t="s">
        <v>87</v>
      </c>
      <c r="H9" s="6" t="s">
        <v>127</v>
      </c>
      <c r="I9" s="6" t="s">
        <v>128</v>
      </c>
      <c r="J9" s="6" t="s">
        <v>129</v>
      </c>
      <c r="K9" s="6" t="s">
        <v>130</v>
      </c>
      <c r="L9" s="6" t="s">
        <v>131</v>
      </c>
      <c r="M9" s="6" t="s">
        <v>33</v>
      </c>
      <c r="N9" s="6" t="s">
        <v>132</v>
      </c>
      <c r="O9" s="6" t="s">
        <v>133</v>
      </c>
      <c r="P9" s="6" t="s">
        <v>133</v>
      </c>
      <c r="Q9" s="6" t="s">
        <v>133</v>
      </c>
      <c r="R9" s="6" t="s">
        <v>133</v>
      </c>
      <c r="S9" s="6" t="s">
        <v>33</v>
      </c>
      <c r="T9" s="6" t="s">
        <v>119</v>
      </c>
      <c r="U9" s="6" t="s">
        <v>134</v>
      </c>
      <c r="V9" s="6" t="s">
        <v>135</v>
      </c>
      <c r="W9" s="7" t="s">
        <v>136</v>
      </c>
    </row>
    <row r="10" spans="1:23" ht="106.75" customHeight="1">
      <c r="A10" s="6" t="s">
        <v>137</v>
      </c>
      <c r="B10" s="6" t="s">
        <v>138</v>
      </c>
      <c r="C10" s="6" t="s">
        <v>322</v>
      </c>
      <c r="D10" s="6" t="s">
        <v>139</v>
      </c>
      <c r="E10" s="6" t="s">
        <v>140</v>
      </c>
      <c r="F10" s="6" t="s">
        <v>141</v>
      </c>
      <c r="G10" s="6" t="s">
        <v>87</v>
      </c>
      <c r="H10" s="6" t="s">
        <v>142</v>
      </c>
      <c r="I10" s="6" t="s">
        <v>143</v>
      </c>
      <c r="J10" s="6" t="s">
        <v>144</v>
      </c>
      <c r="K10" s="6" t="s">
        <v>145</v>
      </c>
      <c r="L10" s="6" t="s">
        <v>146</v>
      </c>
      <c r="M10" s="6" t="s">
        <v>33</v>
      </c>
      <c r="N10" s="6" t="s">
        <v>33</v>
      </c>
      <c r="O10" s="6" t="s">
        <v>147</v>
      </c>
      <c r="P10" s="6" t="s">
        <v>33</v>
      </c>
      <c r="Q10" s="6" t="s">
        <v>147</v>
      </c>
      <c r="R10" s="6" t="s">
        <v>33</v>
      </c>
      <c r="S10" s="6" t="s">
        <v>147</v>
      </c>
      <c r="T10" s="6" t="s">
        <v>119</v>
      </c>
      <c r="U10" s="6" t="s">
        <v>134</v>
      </c>
      <c r="V10" s="6" t="s">
        <v>148</v>
      </c>
      <c r="W10" s="7" t="s">
        <v>138</v>
      </c>
    </row>
    <row r="11" spans="1:23" ht="106.75" customHeight="1">
      <c r="A11" s="6" t="s">
        <v>149</v>
      </c>
      <c r="B11" s="6" t="s">
        <v>150</v>
      </c>
      <c r="C11" s="6" t="s">
        <v>323</v>
      </c>
      <c r="D11" s="6" t="s">
        <v>151</v>
      </c>
      <c r="E11" s="6" t="s">
        <v>152</v>
      </c>
      <c r="F11" s="6" t="s">
        <v>43</v>
      </c>
      <c r="G11" s="6" t="s">
        <v>87</v>
      </c>
      <c r="H11" s="6" t="s">
        <v>153</v>
      </c>
      <c r="I11" s="6" t="s">
        <v>154</v>
      </c>
      <c r="J11" s="6" t="s">
        <v>155</v>
      </c>
      <c r="K11" s="6" t="s">
        <v>156</v>
      </c>
      <c r="L11" s="6" t="s">
        <v>157</v>
      </c>
      <c r="M11" s="6" t="s">
        <v>33</v>
      </c>
      <c r="N11" s="6" t="s">
        <v>133</v>
      </c>
      <c r="O11" s="6" t="s">
        <v>133</v>
      </c>
      <c r="P11" s="6" t="s">
        <v>133</v>
      </c>
      <c r="Q11" s="6" t="s">
        <v>133</v>
      </c>
      <c r="R11" s="6" t="s">
        <v>133</v>
      </c>
      <c r="S11" s="6" t="s">
        <v>133</v>
      </c>
      <c r="T11" s="6" t="s">
        <v>119</v>
      </c>
      <c r="U11" s="6" t="s">
        <v>158</v>
      </c>
      <c r="V11" s="6" t="s">
        <v>159</v>
      </c>
      <c r="W11" s="7" t="s">
        <v>150</v>
      </c>
    </row>
    <row r="12" spans="1:23" ht="106.75" customHeight="1">
      <c r="A12" s="6" t="s">
        <v>160</v>
      </c>
      <c r="B12" s="6" t="s">
        <v>161</v>
      </c>
      <c r="C12" s="6" t="s">
        <v>324</v>
      </c>
      <c r="D12" s="6" t="s">
        <v>162</v>
      </c>
      <c r="E12" s="6" t="s">
        <v>163</v>
      </c>
      <c r="F12" s="6" t="s">
        <v>126</v>
      </c>
      <c r="G12" s="6" t="s">
        <v>164</v>
      </c>
      <c r="H12" s="6" t="s">
        <v>165</v>
      </c>
      <c r="I12" s="6" t="s">
        <v>166</v>
      </c>
      <c r="J12" s="6" t="s">
        <v>167</v>
      </c>
      <c r="K12" s="6" t="s">
        <v>168</v>
      </c>
      <c r="L12" s="6" t="s">
        <v>169</v>
      </c>
      <c r="M12" s="6" t="s">
        <v>33</v>
      </c>
      <c r="N12" s="6" t="s">
        <v>133</v>
      </c>
      <c r="O12" s="6" t="s">
        <v>133</v>
      </c>
      <c r="P12" s="6" t="s">
        <v>133</v>
      </c>
      <c r="Q12" s="6" t="s">
        <v>133</v>
      </c>
      <c r="R12" s="6" t="s">
        <v>133</v>
      </c>
      <c r="S12" s="6" t="s">
        <v>133</v>
      </c>
      <c r="T12" s="6" t="s">
        <v>119</v>
      </c>
      <c r="U12" s="6" t="s">
        <v>158</v>
      </c>
      <c r="V12" s="6" t="s">
        <v>170</v>
      </c>
      <c r="W12" s="7" t="s">
        <v>161</v>
      </c>
    </row>
    <row r="13" spans="1:23" ht="106.75" customHeight="1">
      <c r="A13" s="6" t="s">
        <v>171</v>
      </c>
      <c r="B13" s="6" t="s">
        <v>172</v>
      </c>
      <c r="C13" s="6" t="s">
        <v>325</v>
      </c>
      <c r="D13" s="6" t="s">
        <v>173</v>
      </c>
      <c r="E13" s="6" t="s">
        <v>174</v>
      </c>
      <c r="F13" s="6" t="s">
        <v>175</v>
      </c>
      <c r="G13" s="6" t="s">
        <v>176</v>
      </c>
      <c r="H13" s="6" t="s">
        <v>177</v>
      </c>
      <c r="I13" s="6" t="s">
        <v>178</v>
      </c>
      <c r="J13" s="6" t="s">
        <v>179</v>
      </c>
      <c r="K13" s="6" t="s">
        <v>180</v>
      </c>
      <c r="L13" s="6" t="s">
        <v>181</v>
      </c>
      <c r="M13" s="6" t="s">
        <v>33</v>
      </c>
      <c r="N13" s="6" t="s">
        <v>182</v>
      </c>
      <c r="O13" s="6" t="s">
        <v>133</v>
      </c>
      <c r="P13" s="6" t="s">
        <v>182</v>
      </c>
      <c r="Q13" s="6" t="s">
        <v>182</v>
      </c>
      <c r="R13" s="6" t="s">
        <v>182</v>
      </c>
      <c r="S13" s="6" t="s">
        <v>182</v>
      </c>
      <c r="T13" s="6" t="s">
        <v>119</v>
      </c>
      <c r="U13" s="6" t="s">
        <v>158</v>
      </c>
      <c r="V13" s="6" t="s">
        <v>183</v>
      </c>
      <c r="W13" s="7" t="s">
        <v>172</v>
      </c>
    </row>
    <row r="14" spans="1:23" ht="106.75" customHeight="1">
      <c r="A14" s="6" t="s">
        <v>184</v>
      </c>
      <c r="B14" s="6" t="s">
        <v>185</v>
      </c>
      <c r="C14" s="6" t="s">
        <v>326</v>
      </c>
      <c r="D14" s="6" t="s">
        <v>186</v>
      </c>
      <c r="E14" s="6" t="s">
        <v>187</v>
      </c>
      <c r="F14" s="6" t="s">
        <v>111</v>
      </c>
      <c r="G14" s="6" t="s">
        <v>87</v>
      </c>
      <c r="H14" s="6" t="s">
        <v>188</v>
      </c>
      <c r="I14" s="6" t="s">
        <v>189</v>
      </c>
      <c r="J14" s="6" t="s">
        <v>190</v>
      </c>
      <c r="K14" s="6" t="s">
        <v>191</v>
      </c>
      <c r="L14" s="6" t="s">
        <v>192</v>
      </c>
      <c r="M14" s="6" t="s">
        <v>33</v>
      </c>
      <c r="N14" s="6" t="s">
        <v>182</v>
      </c>
      <c r="O14" s="6" t="s">
        <v>182</v>
      </c>
      <c r="P14" s="6" t="s">
        <v>182</v>
      </c>
      <c r="Q14" s="6" t="s">
        <v>182</v>
      </c>
      <c r="R14" s="6" t="s">
        <v>182</v>
      </c>
      <c r="S14" s="6" t="s">
        <v>182</v>
      </c>
      <c r="T14" s="6" t="s">
        <v>119</v>
      </c>
      <c r="U14" s="6" t="s">
        <v>158</v>
      </c>
      <c r="V14" s="6" t="s">
        <v>193</v>
      </c>
      <c r="W14" s="7" t="s">
        <v>194</v>
      </c>
    </row>
    <row r="15" spans="1:23" ht="106.75" customHeight="1">
      <c r="A15" s="6" t="s">
        <v>195</v>
      </c>
      <c r="B15" s="6" t="s">
        <v>196</v>
      </c>
      <c r="C15" s="6" t="s">
        <v>327</v>
      </c>
      <c r="D15" s="6" t="s">
        <v>197</v>
      </c>
      <c r="E15" s="6" t="s">
        <v>198</v>
      </c>
      <c r="F15" s="6" t="s">
        <v>199</v>
      </c>
      <c r="G15" s="6" t="s">
        <v>176</v>
      </c>
      <c r="H15" s="6" t="s">
        <v>200</v>
      </c>
      <c r="I15" s="6" t="s">
        <v>201</v>
      </c>
      <c r="J15" s="6" t="s">
        <v>202</v>
      </c>
      <c r="K15" s="6" t="s">
        <v>203</v>
      </c>
      <c r="L15" s="6" t="s">
        <v>204</v>
      </c>
      <c r="M15" s="6" t="s">
        <v>33</v>
      </c>
      <c r="N15" s="6" t="s">
        <v>133</v>
      </c>
      <c r="O15" s="6" t="s">
        <v>133</v>
      </c>
      <c r="P15" s="6" t="s">
        <v>133</v>
      </c>
      <c r="Q15" s="6" t="s">
        <v>133</v>
      </c>
      <c r="R15" s="6" t="s">
        <v>133</v>
      </c>
      <c r="S15" s="6" t="s">
        <v>133</v>
      </c>
      <c r="T15" s="6" t="s">
        <v>205</v>
      </c>
      <c r="U15" s="6" t="s">
        <v>158</v>
      </c>
      <c r="V15" s="6" t="s">
        <v>206</v>
      </c>
      <c r="W15" s="7" t="s">
        <v>196</v>
      </c>
    </row>
    <row r="16" spans="1:23" ht="106.75" customHeight="1">
      <c r="A16" s="6" t="s">
        <v>207</v>
      </c>
      <c r="B16" s="6" t="s">
        <v>208</v>
      </c>
      <c r="C16" s="6" t="s">
        <v>328</v>
      </c>
      <c r="D16" s="6" t="s">
        <v>209</v>
      </c>
      <c r="E16" s="6" t="s">
        <v>210</v>
      </c>
      <c r="F16" s="6" t="s">
        <v>211</v>
      </c>
      <c r="G16" s="6" t="s">
        <v>212</v>
      </c>
      <c r="H16" s="6" t="s">
        <v>213</v>
      </c>
      <c r="I16" s="6" t="s">
        <v>214</v>
      </c>
      <c r="J16" s="6" t="s">
        <v>215</v>
      </c>
      <c r="K16" s="6" t="s">
        <v>216</v>
      </c>
      <c r="L16" s="6" t="s">
        <v>217</v>
      </c>
      <c r="M16" s="6" t="s">
        <v>33</v>
      </c>
      <c r="N16" s="6" t="s">
        <v>133</v>
      </c>
      <c r="O16" s="6" t="s">
        <v>133</v>
      </c>
      <c r="P16" s="6" t="s">
        <v>133</v>
      </c>
      <c r="Q16" s="6" t="s">
        <v>133</v>
      </c>
      <c r="R16" s="6" t="s">
        <v>133</v>
      </c>
      <c r="S16" s="6" t="s">
        <v>133</v>
      </c>
      <c r="T16" s="6" t="s">
        <v>218</v>
      </c>
      <c r="U16" s="6" t="s">
        <v>219</v>
      </c>
      <c r="V16" s="6" t="s">
        <v>220</v>
      </c>
      <c r="W16" s="7" t="s">
        <v>221</v>
      </c>
    </row>
    <row r="17" spans="1:23" ht="106.75" customHeight="1">
      <c r="A17" s="6" t="s">
        <v>222</v>
      </c>
      <c r="B17" s="6" t="s">
        <v>223</v>
      </c>
      <c r="C17" s="6"/>
      <c r="D17" s="6" t="s">
        <v>224</v>
      </c>
      <c r="E17" s="6" t="s">
        <v>42</v>
      </c>
      <c r="F17" s="6" t="s">
        <v>225</v>
      </c>
      <c r="G17" s="6" t="s">
        <v>226</v>
      </c>
      <c r="H17" s="6" t="s">
        <v>227</v>
      </c>
      <c r="I17" s="6" t="s">
        <v>228</v>
      </c>
      <c r="J17" s="6" t="s">
        <v>229</v>
      </c>
      <c r="K17" s="6" t="s">
        <v>230</v>
      </c>
      <c r="L17" s="6" t="s">
        <v>157</v>
      </c>
      <c r="M17" s="6" t="s">
        <v>33</v>
      </c>
      <c r="N17" s="6" t="s">
        <v>133</v>
      </c>
      <c r="O17" s="6" t="s">
        <v>133</v>
      </c>
      <c r="P17" s="6" t="s">
        <v>133</v>
      </c>
      <c r="Q17" s="6" t="s">
        <v>133</v>
      </c>
      <c r="R17" s="6" t="s">
        <v>133</v>
      </c>
      <c r="S17" s="6" t="s">
        <v>133</v>
      </c>
      <c r="T17" s="6" t="s">
        <v>119</v>
      </c>
      <c r="U17" s="6" t="s">
        <v>158</v>
      </c>
      <c r="V17" s="6" t="s">
        <v>231</v>
      </c>
      <c r="W17" s="7" t="s">
        <v>223</v>
      </c>
    </row>
    <row r="18" spans="1:23" ht="106.75" customHeight="1">
      <c r="A18" s="7" t="s">
        <v>329</v>
      </c>
      <c r="B18" s="7" t="s">
        <v>330</v>
      </c>
      <c r="C18" s="7" t="s">
        <v>331</v>
      </c>
      <c r="D18" s="7" t="s">
        <v>332</v>
      </c>
      <c r="E18" s="7" t="s">
        <v>42</v>
      </c>
      <c r="F18" s="7" t="s">
        <v>333</v>
      </c>
      <c r="G18" s="7" t="s">
        <v>334</v>
      </c>
      <c r="H18" s="7" t="s">
        <v>335</v>
      </c>
      <c r="I18" s="7" t="s">
        <v>336</v>
      </c>
      <c r="J18" s="7" t="s">
        <v>337</v>
      </c>
      <c r="K18" s="7" t="s">
        <v>338</v>
      </c>
      <c r="L18" s="7" t="s">
        <v>157</v>
      </c>
      <c r="M18" s="7" t="s">
        <v>33</v>
      </c>
      <c r="N18" s="7" t="s">
        <v>133</v>
      </c>
      <c r="O18" s="7" t="s">
        <v>133</v>
      </c>
      <c r="P18" s="7" t="s">
        <v>133</v>
      </c>
      <c r="Q18" s="7" t="s">
        <v>133</v>
      </c>
      <c r="R18" s="7" t="s">
        <v>133</v>
      </c>
      <c r="S18" s="7" t="s">
        <v>133</v>
      </c>
      <c r="T18" s="7" t="s">
        <v>339</v>
      </c>
      <c r="U18" s="7" t="s">
        <v>340</v>
      </c>
      <c r="V18" s="7" t="s">
        <v>341</v>
      </c>
      <c r="W18" s="7" t="s">
        <v>342</v>
      </c>
    </row>
    <row r="19" spans="1:23" ht="106.75" customHeight="1">
      <c r="A19" s="7" t="s">
        <v>343</v>
      </c>
      <c r="B19" s="7" t="s">
        <v>344</v>
      </c>
      <c r="C19" s="7" t="s">
        <v>345</v>
      </c>
      <c r="D19" s="7" t="s">
        <v>346</v>
      </c>
      <c r="E19" s="7" t="s">
        <v>347</v>
      </c>
      <c r="F19" s="7" t="s">
        <v>348</v>
      </c>
      <c r="G19" s="7" t="s">
        <v>87</v>
      </c>
      <c r="H19" s="7" t="s">
        <v>349</v>
      </c>
      <c r="I19" s="7" t="s">
        <v>350</v>
      </c>
      <c r="J19" s="7" t="s">
        <v>351</v>
      </c>
      <c r="K19" s="7" t="s">
        <v>352</v>
      </c>
      <c r="L19" s="7" t="s">
        <v>353</v>
      </c>
      <c r="M19" s="7" t="s">
        <v>354</v>
      </c>
      <c r="N19" s="7" t="s">
        <v>133</v>
      </c>
      <c r="O19" s="7" t="s">
        <v>133</v>
      </c>
      <c r="P19" s="7" t="s">
        <v>133</v>
      </c>
      <c r="Q19" s="7" t="s">
        <v>133</v>
      </c>
      <c r="R19" s="7" t="s">
        <v>133</v>
      </c>
      <c r="S19" s="7" t="s">
        <v>133</v>
      </c>
      <c r="T19" s="7" t="s">
        <v>339</v>
      </c>
      <c r="U19" s="7" t="s">
        <v>355</v>
      </c>
      <c r="V19" s="7" t="s">
        <v>356</v>
      </c>
      <c r="W19" s="7" t="s">
        <v>344</v>
      </c>
    </row>
    <row r="20" spans="1:23" ht="106.75" customHeight="1">
      <c r="A20" s="7" t="s">
        <v>357</v>
      </c>
      <c r="B20" s="7" t="s">
        <v>358</v>
      </c>
      <c r="C20" s="7" t="s">
        <v>359</v>
      </c>
      <c r="D20" s="7" t="s">
        <v>360</v>
      </c>
      <c r="E20" s="7" t="s">
        <v>361</v>
      </c>
      <c r="F20" s="7" t="s">
        <v>362</v>
      </c>
      <c r="G20" s="7" t="s">
        <v>363</v>
      </c>
      <c r="H20" s="7" t="s">
        <v>364</v>
      </c>
      <c r="I20" s="7" t="s">
        <v>365</v>
      </c>
      <c r="J20" s="7" t="s">
        <v>366</v>
      </c>
      <c r="K20" s="7" t="s">
        <v>367</v>
      </c>
      <c r="L20" s="7" t="s">
        <v>368</v>
      </c>
      <c r="M20" s="7" t="s">
        <v>33</v>
      </c>
      <c r="N20" s="7" t="s">
        <v>133</v>
      </c>
      <c r="O20" s="7" t="s">
        <v>133</v>
      </c>
      <c r="P20" s="7" t="s">
        <v>133</v>
      </c>
      <c r="Q20" s="7" t="s">
        <v>133</v>
      </c>
      <c r="R20" s="7" t="s">
        <v>133</v>
      </c>
      <c r="S20" s="7" t="s">
        <v>133</v>
      </c>
      <c r="T20" s="7" t="s">
        <v>369</v>
      </c>
      <c r="U20" s="7" t="s">
        <v>370</v>
      </c>
      <c r="V20" s="7" t="s">
        <v>371</v>
      </c>
      <c r="W20" s="7" t="s">
        <v>372</v>
      </c>
    </row>
    <row r="21" spans="1:23" ht="106.75" customHeight="1">
      <c r="A21" s="7" t="s">
        <v>373</v>
      </c>
      <c r="B21" s="7" t="s">
        <v>374</v>
      </c>
      <c r="C21" s="7" t="s">
        <v>375</v>
      </c>
      <c r="D21" s="7" t="s">
        <v>376</v>
      </c>
      <c r="E21" s="7" t="s">
        <v>377</v>
      </c>
      <c r="F21" s="7" t="s">
        <v>378</v>
      </c>
      <c r="G21" s="7" t="s">
        <v>379</v>
      </c>
      <c r="H21" s="7" t="s">
        <v>380</v>
      </c>
      <c r="I21" s="7" t="s">
        <v>381</v>
      </c>
      <c r="J21" s="7" t="s">
        <v>382</v>
      </c>
      <c r="K21" s="7" t="s">
        <v>383</v>
      </c>
      <c r="L21" s="7" t="s">
        <v>384</v>
      </c>
      <c r="M21" s="7" t="s">
        <v>33</v>
      </c>
      <c r="N21" s="7" t="s">
        <v>385</v>
      </c>
      <c r="O21" s="7" t="s">
        <v>385</v>
      </c>
      <c r="P21" s="7" t="s">
        <v>385</v>
      </c>
      <c r="Q21" s="7" t="s">
        <v>385</v>
      </c>
      <c r="R21" s="7" t="s">
        <v>385</v>
      </c>
      <c r="S21" s="7" t="s">
        <v>385</v>
      </c>
      <c r="T21" s="7" t="s">
        <v>386</v>
      </c>
      <c r="U21" s="7" t="s">
        <v>387</v>
      </c>
      <c r="V21" s="7" t="s">
        <v>388</v>
      </c>
      <c r="W21" s="7" t="s">
        <v>389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</sheetData>
  <conditionalFormatting sqref="M2:R100">
    <cfRule type="expression" dxfId="0" priority="1">
      <formula>LEFT(M2,3)="Yes"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"/>
  <sheetViews>
    <sheetView topLeftCell="A56" workbookViewId="0"/>
  </sheetViews>
  <sheetFormatPr baseColWidth="10" defaultColWidth="8.83203125" defaultRowHeight="14"/>
  <cols>
    <col min="1" max="1" width="20.6640625" customWidth="1"/>
    <col min="2" max="2" width="28.5" customWidth="1"/>
    <col min="3" max="3" width="29.6640625" customWidth="1"/>
  </cols>
  <sheetData>
    <row r="1" spans="1:3" ht="45">
      <c r="A1" s="1" t="s">
        <v>232</v>
      </c>
      <c r="B1" s="1" t="s">
        <v>233</v>
      </c>
      <c r="C1" s="1" t="s">
        <v>234</v>
      </c>
    </row>
    <row r="2" spans="1:3" ht="105">
      <c r="A2" s="2" t="s">
        <v>235</v>
      </c>
      <c r="B2" s="2" t="s">
        <v>236</v>
      </c>
      <c r="C2" s="2" t="s">
        <v>237</v>
      </c>
    </row>
    <row r="3" spans="1:3" ht="45">
      <c r="A3" s="2" t="s">
        <v>238</v>
      </c>
      <c r="B3" s="2" t="s">
        <v>239</v>
      </c>
      <c r="C3" s="2" t="s">
        <v>240</v>
      </c>
    </row>
    <row r="4" spans="1:3" ht="150">
      <c r="A4" s="2" t="s">
        <v>241</v>
      </c>
      <c r="B4" s="2" t="s">
        <v>242</v>
      </c>
      <c r="C4" s="2" t="s">
        <v>243</v>
      </c>
    </row>
    <row r="5" spans="1:3" ht="135">
      <c r="A5" s="2" t="s">
        <v>244</v>
      </c>
      <c r="B5" s="2" t="s">
        <v>245</v>
      </c>
      <c r="C5" s="2" t="s">
        <v>246</v>
      </c>
    </row>
    <row r="6" spans="1:3" ht="150">
      <c r="A6" s="2" t="s">
        <v>247</v>
      </c>
      <c r="B6" s="2" t="s">
        <v>248</v>
      </c>
      <c r="C6" s="2" t="s">
        <v>249</v>
      </c>
    </row>
    <row r="7" spans="1:3" ht="120">
      <c r="A7" s="2" t="s">
        <v>250</v>
      </c>
      <c r="B7" s="2" t="s">
        <v>40</v>
      </c>
      <c r="C7" s="2" t="s">
        <v>251</v>
      </c>
    </row>
    <row r="8" spans="1:3" ht="105">
      <c r="A8" s="2" t="s">
        <v>252</v>
      </c>
      <c r="B8" s="2" t="s">
        <v>253</v>
      </c>
      <c r="C8" s="2" t="s">
        <v>254</v>
      </c>
    </row>
    <row r="9" spans="1:3" ht="105">
      <c r="A9" s="2" t="s">
        <v>255</v>
      </c>
      <c r="B9" s="2" t="s">
        <v>256</v>
      </c>
      <c r="C9" s="2" t="s">
        <v>257</v>
      </c>
    </row>
    <row r="10" spans="1:3" ht="225">
      <c r="A10" s="2" t="s">
        <v>258</v>
      </c>
      <c r="B10" s="2" t="s">
        <v>259</v>
      </c>
      <c r="C10" s="2" t="s">
        <v>260</v>
      </c>
    </row>
    <row r="11" spans="1:3" ht="135">
      <c r="A11" s="2" t="s">
        <v>261</v>
      </c>
      <c r="B11" s="2" t="s">
        <v>70</v>
      </c>
      <c r="C11" s="2" t="s">
        <v>262</v>
      </c>
    </row>
    <row r="12" spans="1:3" ht="135">
      <c r="A12" s="2" t="s">
        <v>83</v>
      </c>
      <c r="B12" s="2" t="s">
        <v>84</v>
      </c>
      <c r="C12" s="2" t="s">
        <v>263</v>
      </c>
    </row>
    <row r="13" spans="1:3" ht="195">
      <c r="A13" s="2" t="s">
        <v>95</v>
      </c>
      <c r="B13" s="2" t="s">
        <v>96</v>
      </c>
      <c r="C13" s="2" t="s">
        <v>264</v>
      </c>
    </row>
    <row r="14" spans="1:3" ht="90">
      <c r="A14" s="2" t="s">
        <v>265</v>
      </c>
      <c r="B14" s="2" t="s">
        <v>108</v>
      </c>
      <c r="C14" s="2" t="s">
        <v>266</v>
      </c>
    </row>
    <row r="15" spans="1:3" ht="90">
      <c r="A15" s="2" t="s">
        <v>267</v>
      </c>
      <c r="B15" s="2" t="s">
        <v>268</v>
      </c>
      <c r="C15" s="2" t="s">
        <v>269</v>
      </c>
    </row>
    <row r="16" spans="1:3" ht="195">
      <c r="A16" s="2" t="s">
        <v>270</v>
      </c>
      <c r="B16" s="2" t="s">
        <v>271</v>
      </c>
      <c r="C16" s="2" t="s">
        <v>272</v>
      </c>
    </row>
    <row r="17" spans="1:3" ht="105">
      <c r="A17" s="2" t="s">
        <v>273</v>
      </c>
      <c r="B17" s="2" t="s">
        <v>138</v>
      </c>
      <c r="C17" s="2" t="s">
        <v>274</v>
      </c>
    </row>
    <row r="18" spans="1:3" ht="75">
      <c r="A18" s="2" t="s">
        <v>149</v>
      </c>
      <c r="B18" s="2" t="s">
        <v>150</v>
      </c>
      <c r="C18" s="2" t="s">
        <v>275</v>
      </c>
    </row>
    <row r="19" spans="1:3" ht="150">
      <c r="A19" s="2" t="s">
        <v>276</v>
      </c>
      <c r="B19" s="2" t="s">
        <v>161</v>
      </c>
      <c r="C19" s="2" t="s">
        <v>277</v>
      </c>
    </row>
    <row r="20" spans="1:3" ht="90">
      <c r="A20" s="2" t="s">
        <v>171</v>
      </c>
      <c r="B20" s="2" t="s">
        <v>172</v>
      </c>
      <c r="C20" s="2" t="s">
        <v>278</v>
      </c>
    </row>
    <row r="21" spans="1:3" ht="135">
      <c r="A21" s="2" t="s">
        <v>184</v>
      </c>
      <c r="B21" s="2" t="s">
        <v>185</v>
      </c>
      <c r="C21" s="2" t="s">
        <v>279</v>
      </c>
    </row>
    <row r="22" spans="1:3" ht="90">
      <c r="A22" s="2" t="s">
        <v>195</v>
      </c>
      <c r="B22" s="2" t="s">
        <v>196</v>
      </c>
      <c r="C22" s="2" t="s">
        <v>280</v>
      </c>
    </row>
    <row r="23" spans="1:3" ht="165">
      <c r="A23" s="2" t="s">
        <v>281</v>
      </c>
      <c r="B23" s="2" t="s">
        <v>208</v>
      </c>
      <c r="C23" s="2" t="s">
        <v>282</v>
      </c>
    </row>
    <row r="24" spans="1:3" ht="60">
      <c r="A24" s="2" t="s">
        <v>222</v>
      </c>
      <c r="B24" s="2" t="s">
        <v>223</v>
      </c>
      <c r="C24" s="2" t="s">
        <v>283</v>
      </c>
    </row>
    <row r="25" spans="1:3" ht="165">
      <c r="A25" s="2" t="s">
        <v>284</v>
      </c>
      <c r="B25" s="2" t="s">
        <v>285</v>
      </c>
      <c r="C25" s="2" t="s">
        <v>286</v>
      </c>
    </row>
    <row r="26" spans="1:3" ht="120">
      <c r="A26" s="2" t="s">
        <v>287</v>
      </c>
      <c r="B26" s="2" t="s">
        <v>288</v>
      </c>
      <c r="C26" s="2" t="s">
        <v>289</v>
      </c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topLeftCell="A5" workbookViewId="0"/>
  </sheetViews>
  <sheetFormatPr baseColWidth="10" defaultColWidth="8.83203125" defaultRowHeight="14"/>
  <cols>
    <col min="1" max="1" width="28.83203125" customWidth="1"/>
    <col min="2" max="2" width="44.6640625" customWidth="1"/>
  </cols>
  <sheetData>
    <row r="1" spans="1:2" ht="135">
      <c r="A1" s="1" t="s">
        <v>290</v>
      </c>
      <c r="B1" s="1"/>
    </row>
    <row r="2" spans="1:2" ht="30">
      <c r="A2" s="2" t="s">
        <v>291</v>
      </c>
      <c r="B2" s="2" t="s">
        <v>292</v>
      </c>
    </row>
    <row r="3" spans="1:2" ht="285">
      <c r="A3" s="2" t="s">
        <v>293</v>
      </c>
      <c r="B3" s="2" t="s">
        <v>294</v>
      </c>
    </row>
    <row r="4" spans="1:2" ht="398">
      <c r="A4" s="2" t="s">
        <v>295</v>
      </c>
      <c r="B4" s="2" t="s">
        <v>296</v>
      </c>
    </row>
    <row r="5" spans="1:2" ht="370">
      <c r="A5" s="2" t="s">
        <v>297</v>
      </c>
      <c r="B5" s="2" t="s">
        <v>298</v>
      </c>
    </row>
    <row r="6" spans="1:2" ht="409.6">
      <c r="A6" s="2" t="s">
        <v>299</v>
      </c>
      <c r="B6" s="2" t="s">
        <v>300</v>
      </c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4"/>
  <cols>
    <col min="1" max="1" width="34" customWidth="1"/>
    <col min="2" max="2" width="72" customWidth="1"/>
  </cols>
  <sheetData>
    <row r="1" spans="1:2" ht="45.25" customHeight="1">
      <c r="A1" s="3" t="s">
        <v>301</v>
      </c>
      <c r="B1" s="3" t="s">
        <v>302</v>
      </c>
    </row>
    <row r="2" spans="1:2" ht="45.25" customHeight="1">
      <c r="A2" t="s">
        <v>303</v>
      </c>
      <c r="B2">
        <f>COUNTA(Landscape!A2:A17)</f>
        <v>16</v>
      </c>
    </row>
    <row r="3" spans="1:2" ht="45.25" customHeight="1">
      <c r="A3" t="s">
        <v>304</v>
      </c>
      <c r="B3">
        <f>COUNTIF(Landscape!H2:H17,"*Ambient*")+COUNTIF(Landscape!H2:H17,"*conversation*")</f>
        <v>3</v>
      </c>
    </row>
    <row r="4" spans="1:2" ht="45.25" customHeight="1">
      <c r="A4" t="s">
        <v>305</v>
      </c>
      <c r="B4">
        <f>COUNTIF(Landscape!M2:M17,"Yes*")</f>
        <v>16</v>
      </c>
    </row>
    <row r="5" spans="1:2" ht="45.25" customHeight="1">
      <c r="A5" t="s">
        <v>306</v>
      </c>
      <c r="B5">
        <f>COUNTIF(Landscape!N2:N17,"Yes*")</f>
        <v>6</v>
      </c>
    </row>
    <row r="6" spans="1:2" ht="45.25" customHeight="1">
      <c r="A6" t="s">
        <v>307</v>
      </c>
      <c r="B6">
        <f>COUNTIF(Landscape!O2:O17,"Yes*")</f>
        <v>4</v>
      </c>
    </row>
    <row r="7" spans="1:2" ht="45.25" customHeight="1">
      <c r="A7" t="s">
        <v>308</v>
      </c>
      <c r="B7">
        <f>COUNTIF(Landscape!P2:P17,"Yes*")</f>
        <v>5</v>
      </c>
    </row>
    <row r="8" spans="1:2" ht="45.25" customHeight="1">
      <c r="A8" t="s">
        <v>309</v>
      </c>
      <c r="B8">
        <f>COUNTIF(Landscape!Q2:Q17,"Yes*")</f>
        <v>4</v>
      </c>
    </row>
    <row r="9" spans="1:2" ht="45.25" customHeight="1">
      <c r="A9" t="s">
        <v>310</v>
      </c>
      <c r="B9">
        <f>COUNTIF(Landscape!R2:R17,"Yes*")</f>
        <v>5</v>
      </c>
    </row>
    <row r="10" spans="1:2" ht="45.25" customHeight="1">
      <c r="A10" t="s">
        <v>311</v>
      </c>
      <c r="B1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Landscape</vt:lpstr>
      <vt:lpstr>Sources</vt:lpstr>
      <vt:lpstr>Read Me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 Mary Thomas T</cp:lastModifiedBy>
  <cp:revision/>
  <dcterms:created xsi:type="dcterms:W3CDTF">2026-05-31T05:17:25Z</dcterms:created>
  <dcterms:modified xsi:type="dcterms:W3CDTF">2026-06-11T06:49:05Z</dcterms:modified>
  <cp:category/>
  <cp:contentStatus/>
</cp:coreProperties>
</file>